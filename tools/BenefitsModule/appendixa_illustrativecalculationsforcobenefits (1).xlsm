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50526\ICF\ICF\WMOST - General\03_Cobenefits\Addl_Benefits\Illustrative_Calcs\"/>
    </mc:Choice>
  </mc:AlternateContent>
  <bookViews>
    <workbookView xWindow="-100" yWindow="-100" windowWidth="19400" windowHeight="10400" tabRatio="790"/>
  </bookViews>
  <sheets>
    <sheet name="Benefits_Interface" sheetId="17" r:id="rId1"/>
    <sheet name="Canopy Cover Benefit" sheetId="7" r:id="rId2"/>
    <sheet name="Green Roof Benefit" sheetId="6" r:id="rId3"/>
    <sheet name="EnergySavings by State" sheetId="11" r:id="rId4"/>
    <sheet name="AvoidedEmissions_UCTrees" sheetId="12" r:id="rId5"/>
    <sheet name="ElectricityPriceByState" sheetId="15" r:id="rId6"/>
    <sheet name="BenefitPerTon_Regression" sheetId="13" r:id="rId7"/>
    <sheet name="SCC_Regression" sheetId="14" r:id="rId8"/>
    <sheet name="GDP Implicit Price Deflator" sheetId="3" r:id="rId9"/>
    <sheet name="AVERT_2017" sheetId="16" r:id="rId10"/>
  </sheets>
  <externalReferences>
    <externalReference r:id="rId11"/>
  </externalReferences>
  <definedNames>
    <definedName name="A_GreenRoof">Benefits_Interface!$G$152</definedName>
    <definedName name="A_GreenSpace">Benefits_Interface!$G$101</definedName>
    <definedName name="A_TreeCover">Benefits_Interface!$G$147</definedName>
    <definedName name="Alum_Savings">Benefits_Interface!$K$66</definedName>
    <definedName name="AlumCost">Benefits_Interface!$G$66</definedName>
    <definedName name="AVERT">'Green Roof Benefit'!$E$2:$I$12</definedName>
    <definedName name="AVERT_EF">Benefits_Interface!$G$155</definedName>
    <definedName name="AVERTReg">Benefits_Interface!$G$154</definedName>
    <definedName name="Bio_Basin">Benefits_Interface!$C$102</definedName>
    <definedName name="BslnTNWTP">Benefits_Interface!$C$72</definedName>
    <definedName name="BslnTPWTP">Benefits_Interface!$C$74</definedName>
    <definedName name="BslnTreat">Benefits_Interface!$C$66</definedName>
    <definedName name="BslnTSSWTP">Benefits_Interface!$C$76</definedName>
    <definedName name="Canopy_Cover_Carbon_Sequestration">#REF!</definedName>
    <definedName name="Canopy_Cover_Energy_Saving">#REF!</definedName>
    <definedName name="Canopy_Cover_Health_Benefit">#REF!</definedName>
    <definedName name="CC_Lower">Benefits_Interface!$K$147</definedName>
    <definedName name="CC_Upper">Benefits_Interface!$K$148</definedName>
    <definedName name="Central">Benefits_Interface!$G$74</definedName>
    <definedName name="CoBenRun">Benefits_Interface!$E$88</definedName>
    <definedName name="Data_Freq">Benefits_Interface!$H$81</definedName>
    <definedName name="DollarYear">Benefits_Interface!$E$9</definedName>
    <definedName name="DomSCC">Benefits_Interface!$D$13</definedName>
    <definedName name="DR_Tree">Benefits_Interface!$C$105,Benefits_Interface!$C$148</definedName>
    <definedName name="DR_Tree1">Benefits_Interface!$C$105</definedName>
    <definedName name="DR_Tree2">Benefits_Interface!$C$148</definedName>
    <definedName name="ElecPrice">Benefits_Interface!$G$156</definedName>
    <definedName name="EnergySaving">#REF!</definedName>
    <definedName name="GlobalSCC">Benefits_Interface!$D$12</definedName>
    <definedName name="GR_Lower">Benefits_Interface!$K$152</definedName>
    <definedName name="GR_Upper">Benefits_Interface!$K$153</definedName>
    <definedName name="Grass_Swale">Benefits_Interface!$C$103</definedName>
    <definedName name="Gravel_Wet">Benefits_Interface!$C$104</definedName>
    <definedName name="Green_Roof">Benefits_Interface!$C$152</definedName>
    <definedName name="Green_Roof_CO2_Emission">#REF!</definedName>
    <definedName name="Green_Roof_Health_Benefit">#REF!</definedName>
    <definedName name="GreenSpace_Benefit">#REF!</definedName>
    <definedName name="GREnergy">Benefits_Interface!$G$153</definedName>
    <definedName name="HomeNo250_H">#REF!</definedName>
    <definedName name="HomeNo250_L">#REF!</definedName>
    <definedName name="HomeNo250_M">#REF!</definedName>
    <definedName name="HomeNo500_H">#REF!</definedName>
    <definedName name="HomeNo500_L">#REF!</definedName>
    <definedName name="HomeNo500_M">#REF!</definedName>
    <definedName name="HRU_Name">Benefits_Interface!$C$21</definedName>
    <definedName name="HRU_Name2">Benefits_Interface!$H$112</definedName>
    <definedName name="HUC12Start">Benefits_Interface!$H$21</definedName>
    <definedName name="Land_Cons">Benefits_Interface!$C$101,Benefits_Interface!$C$147</definedName>
    <definedName name="Land_Cons1">Benefits_Interface!$C$101</definedName>
    <definedName name="Land_Cons2">Benefits_Interface!$C$147</definedName>
    <definedName name="Location">#REF!</definedName>
    <definedName name="MHomeValue_H">#REF!</definedName>
    <definedName name="MHomeValue_L">#REF!</definedName>
    <definedName name="MHomeValue_M">#REF!</definedName>
    <definedName name="MLotSize_H">#REF!</definedName>
    <definedName name="MLotSize_L">#REF!</definedName>
    <definedName name="MLotSize_M">#REF!</definedName>
    <definedName name="MngdTreat">Benefits_Interface!$C$68</definedName>
    <definedName name="ModelRuns">OFFSET('[1]Loaded Scenarios'!$C$2, 0, 0, COUNTA('[1]Loaded Scenarios'!$C:$C)-1)</definedName>
    <definedName name="NHUC12">Benefits_Interface!$H$17</definedName>
    <definedName name="Northeast">Benefits_Interface!$G$73</definedName>
    <definedName name="OpenSpaceBB">Benefits_Interface!$G$108</definedName>
    <definedName name="OpenSpaceDR">Benefits_Interface!$G$112</definedName>
    <definedName name="OpenSpaceGS">Benefits_Interface!$G$109</definedName>
    <definedName name="OpenSpaceGW">Benefits_Interface!$G$110</definedName>
    <definedName name="OpenSpaceRB">Benefits_Interface!$G$111</definedName>
    <definedName name="PctGSIncrease">#REF!</definedName>
    <definedName name="PctTreeC_H">#REF!</definedName>
    <definedName name="PctTreeC_L">#REF!</definedName>
    <definedName name="PctTreeC_M">#REF!</definedName>
    <definedName name="Pop_Dens">Benefits_Interface!$G$148</definedName>
    <definedName name="PopD_H">#REF!</definedName>
    <definedName name="PopD_L">#REF!</definedName>
    <definedName name="PopD_M">#REF!</definedName>
    <definedName name="PopD1">#REF!</definedName>
    <definedName name="Protected">#REF!</definedName>
    <definedName name="Rec">Benefits_Interface!$G$103</definedName>
    <definedName name="Recreational">#REF!</definedName>
    <definedName name="Rip_Buff">Benefits_Interface!$C$106,Benefits_Interface!$C$149</definedName>
    <definedName name="Rip_Buff1">Benefits_Interface!$C$106</definedName>
    <definedName name="Rip_Buff2">Benefits_Interface!$C$149</definedName>
    <definedName name="RiparianArea">#REF!</definedName>
    <definedName name="ScenTNWTP">Benefits_Interface!$C$78</definedName>
    <definedName name="ScenTPWTP">Benefits_Interface!$C$80</definedName>
    <definedName name="ScenTSSWTP">Benefits_Interface!$C$82</definedName>
    <definedName name="South">Benefits_Interface!$G$75</definedName>
    <definedName name="Total_HPBenefits">Benefits_Interface!$K$102</definedName>
    <definedName name="TreeCoverIncrease1">#REF!</definedName>
    <definedName name="TreeCoverIncrease2">#REF!</definedName>
    <definedName name="TurbRatio">Benefits_Interface!$G$65</definedName>
    <definedName name="Wetland">Benefits_Interface!$G$102</definedName>
    <definedName name="WetlandIncrease">#REF!</definedName>
    <definedName name="WTP_Value">Benefits_Interface!$K$74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53" i="17" l="1"/>
  <c r="K152" i="17"/>
  <c r="K148" i="17"/>
  <c r="K147" i="17"/>
  <c r="D12" i="17"/>
  <c r="D47" i="7" l="1"/>
  <c r="C47" i="7"/>
  <c r="B2" i="6" l="1"/>
  <c r="C4" i="7"/>
  <c r="C51" i="7"/>
  <c r="C35" i="7"/>
  <c r="C29" i="7"/>
  <c r="C14" i="7"/>
  <c r="C13" i="7"/>
  <c r="G156" i="17"/>
  <c r="G148" i="17" l="1"/>
  <c r="K84" i="17"/>
  <c r="C55" i="7" l="1"/>
  <c r="C54" i="7"/>
  <c r="C52" i="7"/>
  <c r="C53" i="7" s="1"/>
  <c r="C57" i="7" s="1"/>
  <c r="C56" i="7" l="1"/>
  <c r="L50" i="12" l="1"/>
  <c r="K50" i="12"/>
  <c r="I50" i="12"/>
  <c r="L3" i="12"/>
  <c r="K20" i="12"/>
  <c r="L20" i="12"/>
  <c r="I4" i="12"/>
  <c r="J4" i="12"/>
  <c r="K4" i="12"/>
  <c r="L4" i="12"/>
  <c r="I5" i="12"/>
  <c r="J5" i="12"/>
  <c r="K5" i="12"/>
  <c r="L5" i="12"/>
  <c r="I6" i="12"/>
  <c r="J6" i="12"/>
  <c r="K6" i="12"/>
  <c r="L6" i="12"/>
  <c r="I7" i="12"/>
  <c r="J7" i="12"/>
  <c r="K7" i="12"/>
  <c r="L7" i="12"/>
  <c r="I8" i="12"/>
  <c r="J8" i="12"/>
  <c r="K8" i="12"/>
  <c r="L8" i="12"/>
  <c r="I9" i="12"/>
  <c r="J9" i="12"/>
  <c r="K9" i="12"/>
  <c r="L9" i="12"/>
  <c r="I10" i="12"/>
  <c r="J10" i="12"/>
  <c r="K10" i="12"/>
  <c r="L10" i="12"/>
  <c r="I11" i="12"/>
  <c r="J11" i="12"/>
  <c r="K11" i="12"/>
  <c r="L11" i="12"/>
  <c r="I12" i="12"/>
  <c r="J12" i="12"/>
  <c r="K12" i="12"/>
  <c r="L12" i="12"/>
  <c r="I13" i="12"/>
  <c r="J13" i="12"/>
  <c r="K13" i="12"/>
  <c r="L13" i="12"/>
  <c r="I14" i="12"/>
  <c r="J14" i="12"/>
  <c r="K14" i="12"/>
  <c r="L14" i="12"/>
  <c r="I15" i="12"/>
  <c r="J15" i="12"/>
  <c r="K15" i="12"/>
  <c r="L15" i="12"/>
  <c r="I16" i="12"/>
  <c r="J16" i="12"/>
  <c r="K16" i="12"/>
  <c r="L16" i="12"/>
  <c r="I17" i="12"/>
  <c r="J17" i="12"/>
  <c r="K17" i="12"/>
  <c r="L17" i="12"/>
  <c r="I18" i="12"/>
  <c r="J18" i="12"/>
  <c r="K18" i="12"/>
  <c r="L18" i="12"/>
  <c r="I19" i="12"/>
  <c r="J19" i="12"/>
  <c r="K19" i="12"/>
  <c r="L19" i="12"/>
  <c r="I20" i="12"/>
  <c r="J20" i="12"/>
  <c r="I21" i="12"/>
  <c r="J21" i="12"/>
  <c r="K21" i="12"/>
  <c r="L21" i="12"/>
  <c r="I22" i="12"/>
  <c r="J22" i="12"/>
  <c r="K22" i="12"/>
  <c r="L22" i="12"/>
  <c r="I23" i="12"/>
  <c r="J23" i="12"/>
  <c r="K23" i="12"/>
  <c r="L23" i="12"/>
  <c r="I24" i="12"/>
  <c r="J24" i="12"/>
  <c r="K24" i="12"/>
  <c r="L24" i="12"/>
  <c r="I25" i="12"/>
  <c r="J25" i="12"/>
  <c r="K25" i="12"/>
  <c r="L25" i="12"/>
  <c r="I26" i="12"/>
  <c r="J26" i="12"/>
  <c r="K26" i="12"/>
  <c r="L26" i="12"/>
  <c r="I27" i="12"/>
  <c r="J27" i="12"/>
  <c r="K27" i="12"/>
  <c r="L27" i="12"/>
  <c r="I28" i="12"/>
  <c r="J28" i="12"/>
  <c r="K28" i="12"/>
  <c r="L28" i="12"/>
  <c r="I29" i="12"/>
  <c r="J29" i="12"/>
  <c r="K29" i="12"/>
  <c r="L29" i="12"/>
  <c r="I30" i="12"/>
  <c r="J30" i="12"/>
  <c r="K30" i="12"/>
  <c r="L30" i="12"/>
  <c r="I31" i="12"/>
  <c r="J31" i="12"/>
  <c r="K31" i="12"/>
  <c r="L31" i="12"/>
  <c r="I32" i="12"/>
  <c r="J32" i="12"/>
  <c r="K32" i="12"/>
  <c r="L32" i="12"/>
  <c r="I33" i="12"/>
  <c r="J33" i="12"/>
  <c r="K33" i="12"/>
  <c r="L33" i="12"/>
  <c r="I34" i="12"/>
  <c r="J34" i="12"/>
  <c r="K34" i="12"/>
  <c r="L34" i="12"/>
  <c r="I35" i="12"/>
  <c r="J35" i="12"/>
  <c r="K35" i="12"/>
  <c r="L35" i="12"/>
  <c r="I36" i="12"/>
  <c r="J36" i="12"/>
  <c r="K36" i="12"/>
  <c r="L36" i="12"/>
  <c r="I37" i="12"/>
  <c r="J37" i="12"/>
  <c r="K37" i="12"/>
  <c r="L37" i="12"/>
  <c r="I38" i="12"/>
  <c r="J38" i="12"/>
  <c r="K38" i="12"/>
  <c r="L38" i="12"/>
  <c r="I39" i="12"/>
  <c r="J39" i="12"/>
  <c r="K39" i="12"/>
  <c r="L39" i="12"/>
  <c r="I40" i="12"/>
  <c r="J40" i="12"/>
  <c r="K40" i="12"/>
  <c r="L40" i="12"/>
  <c r="I41" i="12"/>
  <c r="J41" i="12"/>
  <c r="K41" i="12"/>
  <c r="L41" i="12"/>
  <c r="I42" i="12"/>
  <c r="J42" i="12"/>
  <c r="K42" i="12"/>
  <c r="L42" i="12"/>
  <c r="I43" i="12"/>
  <c r="J43" i="12"/>
  <c r="K43" i="12"/>
  <c r="L43" i="12"/>
  <c r="I44" i="12"/>
  <c r="J44" i="12"/>
  <c r="K44" i="12"/>
  <c r="L44" i="12"/>
  <c r="I45" i="12"/>
  <c r="J45" i="12"/>
  <c r="K45" i="12"/>
  <c r="L45" i="12"/>
  <c r="I46" i="12"/>
  <c r="J46" i="12"/>
  <c r="K46" i="12"/>
  <c r="L46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J50" i="12"/>
  <c r="K3" i="12"/>
  <c r="J3" i="12"/>
  <c r="I3" i="12"/>
  <c r="I12" i="6" l="1"/>
  <c r="I11" i="6"/>
  <c r="I10" i="6"/>
  <c r="I9" i="6"/>
  <c r="I8" i="6"/>
  <c r="I7" i="6"/>
  <c r="I6" i="6"/>
  <c r="I5" i="6"/>
  <c r="I4" i="6"/>
  <c r="I3" i="6"/>
  <c r="H12" i="6"/>
  <c r="H11" i="6"/>
  <c r="H10" i="6"/>
  <c r="H9" i="6"/>
  <c r="H8" i="6"/>
  <c r="H7" i="6"/>
  <c r="H6" i="6"/>
  <c r="H5" i="6"/>
  <c r="H4" i="6"/>
  <c r="H3" i="6"/>
  <c r="G12" i="6" l="1"/>
  <c r="G11" i="6"/>
  <c r="G10" i="6"/>
  <c r="G9" i="6"/>
  <c r="G8" i="6"/>
  <c r="G7" i="6"/>
  <c r="G6" i="6"/>
  <c r="G5" i="6"/>
  <c r="G4" i="6"/>
  <c r="G3" i="6"/>
  <c r="F12" i="6"/>
  <c r="F11" i="6"/>
  <c r="F10" i="6"/>
  <c r="F9" i="6"/>
  <c r="F8" i="6"/>
  <c r="F7" i="6"/>
  <c r="F6" i="6"/>
  <c r="F5" i="6"/>
  <c r="F4" i="6"/>
  <c r="F3" i="6"/>
  <c r="B25" i="6" l="1"/>
  <c r="B26" i="6" s="1"/>
  <c r="B19" i="6"/>
  <c r="B18" i="6"/>
  <c r="C8" i="7"/>
  <c r="C7" i="7"/>
  <c r="C27" i="7" l="1"/>
  <c r="C36" i="7" l="1"/>
  <c r="C39" i="7" l="1"/>
  <c r="C38" i="7"/>
  <c r="C37" i="7"/>
  <c r="C41" i="7" s="1"/>
  <c r="C44" i="7" s="1"/>
  <c r="D41" i="7" l="1"/>
  <c r="D44" i="7" s="1"/>
  <c r="D43" i="7"/>
  <c r="D46" i="7" s="1"/>
  <c r="C43" i="7"/>
  <c r="C46" i="7" s="1"/>
  <c r="C42" i="7"/>
  <c r="C45" i="7" s="1"/>
  <c r="D42" i="7"/>
  <c r="D45" i="7" s="1"/>
  <c r="C28" i="7"/>
  <c r="C30" i="7" l="1"/>
  <c r="C31" i="7" s="1"/>
  <c r="I17" i="7" l="1"/>
  <c r="I16" i="7"/>
  <c r="I15" i="7"/>
  <c r="I14" i="7"/>
  <c r="C17" i="7" l="1"/>
  <c r="C15" i="7" l="1"/>
  <c r="C16" i="7"/>
  <c r="C18" i="7"/>
  <c r="C19" i="7" l="1"/>
  <c r="C6" i="7"/>
  <c r="B3" i="6"/>
  <c r="B7" i="6" l="1"/>
  <c r="C13" i="6" s="1"/>
  <c r="B6" i="6"/>
  <c r="B9" i="6"/>
  <c r="C14" i="6" s="1"/>
  <c r="B8" i="6"/>
  <c r="B27" i="6"/>
  <c r="C10" i="7"/>
  <c r="C9" i="7"/>
  <c r="C22" i="7"/>
  <c r="C21" i="7"/>
  <c r="C20" i="7"/>
  <c r="B21" i="6" l="1"/>
  <c r="B20" i="6"/>
  <c r="C12" i="6"/>
  <c r="B12" i="6"/>
  <c r="C23" i="7"/>
  <c r="B13" i="6" l="1"/>
  <c r="B14" i="6"/>
  <c r="B15" i="6" l="1"/>
  <c r="C15" i="6"/>
  <c r="E16" i="3" l="1"/>
</calcChain>
</file>

<file path=xl/comments1.xml><?xml version="1.0" encoding="utf-8"?>
<comments xmlns="http://schemas.openxmlformats.org/spreadsheetml/2006/main">
  <authors>
    <author>Balukas, Jessica</author>
  </authors>
  <commentList>
    <comment ref="G148" authorId="0" shapeId="0">
      <text>
        <r>
          <rPr>
            <b/>
            <sz val="9"/>
            <color indexed="81"/>
            <rFont val="Tahoma"/>
            <family val="2"/>
          </rPr>
          <t>Balukas, Jessica:</t>
        </r>
        <r>
          <rPr>
            <sz val="9"/>
            <color indexed="81"/>
            <rFont val="Tahoma"/>
            <family val="2"/>
          </rPr>
          <t xml:space="preserve">
Population density for Montgomery County, MD
Total population from 2013-2017 American Community Survey 5-Year Estimates
Land area in square miles, 2010 (Census quick facts for Montgomery County, MD)</t>
        </r>
      </text>
    </comment>
    <comment ref="G153" authorId="0" shapeId="0">
      <text>
        <r>
          <rPr>
            <b/>
            <sz val="9"/>
            <color indexed="81"/>
            <rFont val="Tahoma"/>
            <family val="2"/>
          </rPr>
          <t>Balukas, Jessica:</t>
        </r>
        <r>
          <rPr>
            <sz val="9"/>
            <color indexed="81"/>
            <rFont val="Tahoma"/>
            <family val="2"/>
          </rPr>
          <t xml:space="preserve">
Mock value (MD application did not include a green roof)</t>
        </r>
      </text>
    </comment>
  </commentList>
</comments>
</file>

<file path=xl/comments2.xml><?xml version="1.0" encoding="utf-8"?>
<comments xmlns="http://schemas.openxmlformats.org/spreadsheetml/2006/main">
  <authors>
    <author>Balukas, Jessica</author>
  </authors>
  <commentList>
    <comment ref="C26" authorId="0" shapeId="0">
      <text>
        <r>
          <rPr>
            <b/>
            <sz val="9"/>
            <color indexed="81"/>
            <rFont val="Tahoma"/>
            <family val="2"/>
          </rPr>
          <t>Balukas, Jessica:</t>
        </r>
        <r>
          <rPr>
            <sz val="9"/>
            <color indexed="81"/>
            <rFont val="Tahoma"/>
            <family val="2"/>
          </rPr>
          <t xml:space="preserve">
I chose Maryland as an example based on the case study from the previous illustrative calcs. Actual module will select state based on HUC numbers.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Balukas, Jessica:</t>
        </r>
        <r>
          <rPr>
            <sz val="9"/>
            <color indexed="81"/>
            <rFont val="Tahoma"/>
            <family val="2"/>
          </rPr>
          <t xml:space="preserve">
Our memo only mentioned avoided human health effects from avoided power plant emissions. However, the Nowak et al. (2017) paper also provides avoided CO2 emissions by state (AvoidedEmissions_UCTrees tab), so it makes sense to monetize avoided CO2 emissions as well.
Elena:</t>
        </r>
        <r>
          <rPr>
            <b/>
            <sz val="9"/>
            <color indexed="81"/>
            <rFont val="Tahoma"/>
            <family val="2"/>
          </rPr>
          <t xml:space="preserve"> I agree PP emissions include both CO2 and criteria air pollutants. So, we should include it in our calcuation. </t>
        </r>
      </text>
    </comment>
  </commentList>
</comments>
</file>

<file path=xl/comments3.xml><?xml version="1.0" encoding="utf-8"?>
<comments xmlns="http://schemas.openxmlformats.org/spreadsheetml/2006/main">
  <authors>
    <author>Balukas, Jessica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Balukas, Jessica:</t>
        </r>
        <r>
          <rPr>
            <sz val="9"/>
            <color indexed="81"/>
            <rFont val="Tahoma"/>
            <family val="2"/>
          </rPr>
          <t xml:space="preserve">
I revised these to use the 2017 Uniform EE AVERT rates:
https://www.epa.gov/statelocalenergy/avoided-emission-factors-generated-avert</t>
        </r>
      </text>
    </comment>
  </commentList>
</comments>
</file>

<file path=xl/sharedStrings.xml><?xml version="1.0" encoding="utf-8"?>
<sst xmlns="http://schemas.openxmlformats.org/spreadsheetml/2006/main" count="1083" uniqueCount="508">
  <si>
    <t>Land Conservation</t>
  </si>
  <si>
    <t>Bioretention Basin</t>
  </si>
  <si>
    <t>Grass Swale</t>
  </si>
  <si>
    <t>Gravel Wetland</t>
  </si>
  <si>
    <t>Recreational</t>
  </si>
  <si>
    <t>1 if recreational amenities are included; 0 otherwise</t>
  </si>
  <si>
    <t>Direct Reduction Tree Canopy</t>
  </si>
  <si>
    <t>Wetland</t>
  </si>
  <si>
    <t>1 if wetland area is expected to increase; 0 otherwise</t>
  </si>
  <si>
    <t>Riparian Buffer</t>
  </si>
  <si>
    <t>Region</t>
  </si>
  <si>
    <t>Population density</t>
  </si>
  <si>
    <t>people/square mile</t>
  </si>
  <si>
    <t>Green Roof</t>
  </si>
  <si>
    <t>Location</t>
  </si>
  <si>
    <t>Texas</t>
  </si>
  <si>
    <t>Avoided water treatment costs</t>
  </si>
  <si>
    <t>Use and non-use of water quality improvements</t>
  </si>
  <si>
    <t>Benefits from Canopy Cover -- ILLUSTRATIVE SAMPLE CALCULATIONS ** NOT TO BE DISTRIBUTED BROADLY</t>
  </si>
  <si>
    <t>Carbon Sequestration Benefits from Canopy Cover</t>
  </si>
  <si>
    <t>Increase in acres canopy cover (acres)</t>
  </si>
  <si>
    <t>Rate of carbon sequestration (metric ton/acre)</t>
  </si>
  <si>
    <t>https://www.epa.gov/energy/greenhouse-gases-equivalencies-calculator-calculations-and-references#_ftn1</t>
  </si>
  <si>
    <t>Total carbon sequestration (metric tons)</t>
  </si>
  <si>
    <t>Electricity Savings from Urban/Community Trees</t>
  </si>
  <si>
    <t>Pollutant Removal Rates (Nowak et al. 2014)</t>
  </si>
  <si>
    <t>Population Density (people/km2)</t>
  </si>
  <si>
    <t>Pollutant</t>
  </si>
  <si>
    <t>g/m^2</t>
  </si>
  <si>
    <t>Increase in tree cover (acres)</t>
  </si>
  <si>
    <t>NO2</t>
  </si>
  <si>
    <t>NO2 removed by tree cover (metric tons)</t>
  </si>
  <si>
    <t>SO2</t>
  </si>
  <si>
    <t>SO2 removed by tree cover (metric tons)</t>
  </si>
  <si>
    <t>O3</t>
  </si>
  <si>
    <t>Ozone removed by tree cover (metric tons)</t>
  </si>
  <si>
    <t>PM2.5</t>
  </si>
  <si>
    <t>PM2.5 removed by tree cover (metric tons)</t>
  </si>
  <si>
    <t>Regressions estimating dollars per tonne (Nowak et al. 2014)</t>
  </si>
  <si>
    <t>0.7298 + 0.6264 * pop density</t>
  </si>
  <si>
    <t>0.1442 + 0.1493 * pop density</t>
  </si>
  <si>
    <t>9.4667 + 3.5089 * pop density</t>
  </si>
  <si>
    <t>Total Avoided health damages</t>
  </si>
  <si>
    <t>428.0011 + 121.7864 * pop density</t>
  </si>
  <si>
    <t xml:space="preserve">1 hectare = 2.47104393046628 acres </t>
  </si>
  <si>
    <t>1 m^2 =  0.000247104393046628 acres</t>
  </si>
  <si>
    <t>Green roof calculator outputs</t>
  </si>
  <si>
    <t>Electrical savings (kWh)</t>
  </si>
  <si>
    <t>SO2 (lbs/MWh)</t>
  </si>
  <si>
    <t>NOx (lbs/MWh)</t>
  </si>
  <si>
    <t>CO2 (tons/MWh)</t>
  </si>
  <si>
    <t>PM2.5 (lbs/MWh)</t>
  </si>
  <si>
    <t>Electrical savings (MWh)</t>
  </si>
  <si>
    <t>Northeast</t>
  </si>
  <si>
    <t>Great Lakes/Mid-Atlantic</t>
  </si>
  <si>
    <t>Avoided Pollutants</t>
  </si>
  <si>
    <t>Southeast</t>
  </si>
  <si>
    <t xml:space="preserve">SO2 (lbs): </t>
  </si>
  <si>
    <t>Upper Midwest</t>
  </si>
  <si>
    <t>NO2 (lbs):</t>
  </si>
  <si>
    <t>Lower Midwest</t>
  </si>
  <si>
    <t>CO2 (short tons):</t>
  </si>
  <si>
    <t>PM2.5 (lbs):</t>
  </si>
  <si>
    <t>Rocky Mountains</t>
  </si>
  <si>
    <t>Southwest</t>
  </si>
  <si>
    <t>Avoided Health Damages</t>
  </si>
  <si>
    <t>Northwest</t>
  </si>
  <si>
    <t>California</t>
  </si>
  <si>
    <t>Total</t>
  </si>
  <si>
    <t>Avoided Carbon Benefits</t>
  </si>
  <si>
    <t>NOx</t>
  </si>
  <si>
    <t>1 lbs = 0.000500000000 tons</t>
  </si>
  <si>
    <t>1 ton = 907184.74 g</t>
  </si>
  <si>
    <t>1 US ton = 0.907185 metric tons</t>
  </si>
  <si>
    <t>Table 1.1.9. Implicit Price Deflators for Gross Domestic Product</t>
  </si>
  <si>
    <t>[Index numbers, 2012=100]</t>
  </si>
  <si>
    <t>Bureau of Economic Analysis</t>
  </si>
  <si>
    <t>Last Revised on: July 27, 2018 - Next Release Date August 29, 2018</t>
  </si>
  <si>
    <t>Line</t>
  </si>
  <si>
    <t/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</si>
  <si>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</si>
  <si>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</si>
  <si>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</si>
  <si>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</si>
  <si>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</si>
  <si>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</si>
  <si>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</si>
  <si>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</si>
  <si>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</si>
  <si>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</si>
  <si>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</si>
  <si>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</si>
  <si>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</si>
  <si>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</si>
  <si>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</si>
  <si>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</si>
  <si>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</si>
  <si>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</si>
  <si>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</si>
  <si>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</si>
  <si>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</si>
  <si>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</si>
  <si>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</si>
  <si>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</si>
  <si>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</si>
  <si>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</si>
  <si>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</si>
  <si>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</si>
  <si>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</si>
  <si>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</si>
  <si>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</si>
  <si>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</si>
  <si>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</si>
  <si>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</si>
  <si>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</si>
  <si>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</si>
  <si>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</si>
  <si>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</si>
  <si>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</si>
  <si>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</si>
  <si>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</si>
  <si>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</si>
  <si>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</si>
  <si>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</si>
  <si>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</si>
  <si>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</si>
  <si>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</si>
  <si>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</si>
  <si>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</t>
  </si>
  <si>
    <t xml:space="preserve">        Gross domestic product</t>
  </si>
  <si>
    <t>2</t>
  </si>
  <si>
    <t>Personal consumption expenditures</t>
  </si>
  <si>
    <t>3</t>
  </si>
  <si>
    <t xml:space="preserve">    Goods</t>
  </si>
  <si>
    <t>4</t>
  </si>
  <si>
    <t xml:space="preserve">        Durable goods</t>
  </si>
  <si>
    <t>5</t>
  </si>
  <si>
    <t xml:space="preserve">        Nondurable goods</t>
  </si>
  <si>
    <t>6</t>
  </si>
  <si>
    <t xml:space="preserve">    Services</t>
  </si>
  <si>
    <t>7</t>
  </si>
  <si>
    <t>Gross private domestic investment</t>
  </si>
  <si>
    <t>8</t>
  </si>
  <si>
    <t xml:space="preserve">    Fixed investment</t>
  </si>
  <si>
    <t>9</t>
  </si>
  <si>
    <t xml:space="preserve">        Nonresidential</t>
  </si>
  <si>
    <t>10</t>
  </si>
  <si>
    <t xml:space="preserve">            Structures</t>
  </si>
  <si>
    <t>11</t>
  </si>
  <si>
    <t xml:space="preserve">            Equipment</t>
  </si>
  <si>
    <t>12</t>
  </si>
  <si>
    <t xml:space="preserve">            Intellectual property products</t>
  </si>
  <si>
    <t>13</t>
  </si>
  <si>
    <t xml:space="preserve">        Residential</t>
  </si>
  <si>
    <t>14</t>
  </si>
  <si>
    <t xml:space="preserve">    Change in private inventories</t>
  </si>
  <si>
    <t>---</t>
  </si>
  <si>
    <t>15</t>
  </si>
  <si>
    <t>Net exports of goods and services</t>
  </si>
  <si>
    <t>16</t>
  </si>
  <si>
    <t xml:space="preserve">    Exports</t>
  </si>
  <si>
    <t>17</t>
  </si>
  <si>
    <t xml:space="preserve">        Goods</t>
  </si>
  <si>
    <t>18</t>
  </si>
  <si>
    <t xml:space="preserve">        Services</t>
  </si>
  <si>
    <t>19</t>
  </si>
  <si>
    <t xml:space="preserve">    Imports</t>
  </si>
  <si>
    <t>20</t>
  </si>
  <si>
    <t>21</t>
  </si>
  <si>
    <t>22</t>
  </si>
  <si>
    <t>Government consumption expenditures and gross investment</t>
  </si>
  <si>
    <t>23</t>
  </si>
  <si>
    <t xml:space="preserve">    Federal</t>
  </si>
  <si>
    <t>24</t>
  </si>
  <si>
    <t xml:space="preserve">        National defense</t>
  </si>
  <si>
    <t>25</t>
  </si>
  <si>
    <t xml:space="preserve">        Nondefense</t>
  </si>
  <si>
    <t>26</t>
  </si>
  <si>
    <t xml:space="preserve">    State and local</t>
  </si>
  <si>
    <t>Addendum:</t>
  </si>
  <si>
    <t>27</t>
  </si>
  <si>
    <t xml:space="preserve">    Gross national product</t>
  </si>
  <si>
    <t>State</t>
  </si>
  <si>
    <t>Alabama</t>
  </si>
  <si>
    <t>Arkansas</t>
  </si>
  <si>
    <t>Arizona</t>
  </si>
  <si>
    <t>Colorado</t>
  </si>
  <si>
    <t>Connecticut</t>
  </si>
  <si>
    <t>District of Columbia</t>
  </si>
  <si>
    <t>Delaware</t>
  </si>
  <si>
    <t>Florida</t>
  </si>
  <si>
    <t>Georgia</t>
  </si>
  <si>
    <t>Iowa</t>
  </si>
  <si>
    <t>Idaho</t>
  </si>
  <si>
    <t>Illinois</t>
  </si>
  <si>
    <t>Indiana</t>
  </si>
  <si>
    <t>Kansas</t>
  </si>
  <si>
    <t>Kentucky</t>
  </si>
  <si>
    <t>Louisiana</t>
  </si>
  <si>
    <t>Massachusetts</t>
  </si>
  <si>
    <t>Maryland</t>
  </si>
  <si>
    <t>Maine</t>
  </si>
  <si>
    <t>Michigan</t>
  </si>
  <si>
    <t>Minnesota</t>
  </si>
  <si>
    <t>Missouri</t>
  </si>
  <si>
    <t>Mississippi</t>
  </si>
  <si>
    <t>Montana</t>
  </si>
  <si>
    <t>North Carolina</t>
  </si>
  <si>
    <t>North Dakota</t>
  </si>
  <si>
    <t>Nebraska</t>
  </si>
  <si>
    <t>New Hampshire</t>
  </si>
  <si>
    <t>New Jersey</t>
  </si>
  <si>
    <t>New Mexico</t>
  </si>
  <si>
    <t>Nevada</t>
  </si>
  <si>
    <t>New York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</si>
  <si>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</si>
  <si>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</si>
  <si>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</si>
  <si>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</si>
  <si>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</si>
  <si>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</si>
  <si>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</si>
  <si>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</si>
  <si>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Utah</t>
  </si>
  <si>
    <t>Virginia</t>
  </si>
  <si>
    <t>Vermont</t>
  </si>
  <si>
    <t>Washington</t>
  </si>
  <si>
    <t>Wisconsin</t>
  </si>
  <si>
    <t>West Virginia</t>
  </si>
  <si>
    <t>Wyoming</t>
  </si>
  <si>
    <t>Conterminous US</t>
  </si>
  <si>
    <t>Location (state)</t>
  </si>
  <si>
    <t>Energy Savings
$/ha tree cover (2009$)</t>
  </si>
  <si>
    <t>Energy Savings $/ha tree cover (2009$)</t>
  </si>
  <si>
    <t>Energy Savings $/ha tree cover (2017$)</t>
  </si>
  <si>
    <t>Avoided Emissions from Power Plants (Metric Tons)
Nowak et al. (2017)</t>
  </si>
  <si>
    <t>Nowak et al. (2012)</t>
  </si>
  <si>
    <t>Avoided Emissions from Power Plants 
(Metric Tons/ha)</t>
  </si>
  <si>
    <r>
      <rPr>
        <b/>
        <sz val="10"/>
        <color rgb="FF231F20"/>
        <rFont val="Times New Roman"/>
        <family val="1"/>
      </rPr>
      <t>State</t>
    </r>
  </si>
  <si>
    <t>UC tree cover (ha)</t>
  </si>
  <si>
    <r>
      <rPr>
        <sz val="10"/>
        <color rgb="FF231F20"/>
        <rFont val="Times New Roman"/>
        <family val="1"/>
      </rPr>
      <t>AL</t>
    </r>
  </si>
  <si>
    <r>
      <rPr>
        <sz val="10"/>
        <color rgb="FF231F20"/>
        <rFont val="Times New Roman"/>
        <family val="1"/>
      </rPr>
      <t>AR</t>
    </r>
  </si>
  <si>
    <r>
      <rPr>
        <sz val="10"/>
        <color rgb="FF231F20"/>
        <rFont val="Times New Roman"/>
        <family val="1"/>
      </rPr>
      <t>AZ</t>
    </r>
  </si>
  <si>
    <r>
      <rPr>
        <sz val="10"/>
        <color rgb="FF231F20"/>
        <rFont val="Times New Roman"/>
        <family val="1"/>
      </rPr>
      <t>CA</t>
    </r>
  </si>
  <si>
    <r>
      <rPr>
        <sz val="10"/>
        <color rgb="FF231F20"/>
        <rFont val="Times New Roman"/>
        <family val="1"/>
      </rPr>
      <t>CO</t>
    </r>
  </si>
  <si>
    <r>
      <rPr>
        <sz val="10"/>
        <color rgb="FF231F20"/>
        <rFont val="Times New Roman"/>
        <family val="1"/>
      </rPr>
      <t>CT</t>
    </r>
  </si>
  <si>
    <r>
      <rPr>
        <sz val="10"/>
        <color rgb="FF231F20"/>
        <rFont val="Times New Roman"/>
        <family val="1"/>
      </rPr>
      <t>DE</t>
    </r>
  </si>
  <si>
    <r>
      <rPr>
        <sz val="10"/>
        <color rgb="FF231F20"/>
        <rFont val="Times New Roman"/>
        <family val="1"/>
      </rPr>
      <t>FL</t>
    </r>
  </si>
  <si>
    <r>
      <rPr>
        <sz val="10"/>
        <color rgb="FF231F20"/>
        <rFont val="Times New Roman"/>
        <family val="1"/>
      </rPr>
      <t>GA</t>
    </r>
  </si>
  <si>
    <r>
      <rPr>
        <sz val="10"/>
        <color rgb="FF231F20"/>
        <rFont val="Times New Roman"/>
        <family val="1"/>
      </rPr>
      <t>IA</t>
    </r>
  </si>
  <si>
    <r>
      <rPr>
        <sz val="10"/>
        <color rgb="FF231F20"/>
        <rFont val="Times New Roman"/>
        <family val="1"/>
      </rPr>
      <t>ID</t>
    </r>
  </si>
  <si>
    <r>
      <rPr>
        <sz val="10"/>
        <color rgb="FF231F20"/>
        <rFont val="Times New Roman"/>
        <family val="1"/>
      </rPr>
      <t>IL</t>
    </r>
  </si>
  <si>
    <r>
      <rPr>
        <sz val="10"/>
        <color rgb="FF231F20"/>
        <rFont val="Times New Roman"/>
        <family val="1"/>
      </rPr>
      <t>IN</t>
    </r>
  </si>
  <si>
    <r>
      <rPr>
        <sz val="10"/>
        <color rgb="FF231F20"/>
        <rFont val="Times New Roman"/>
        <family val="1"/>
      </rPr>
      <t>KS</t>
    </r>
  </si>
  <si>
    <r>
      <rPr>
        <sz val="10"/>
        <color rgb="FF231F20"/>
        <rFont val="Times New Roman"/>
        <family val="1"/>
      </rPr>
      <t>KY</t>
    </r>
  </si>
  <si>
    <r>
      <rPr>
        <sz val="10"/>
        <color rgb="FF231F20"/>
        <rFont val="Times New Roman"/>
        <family val="1"/>
      </rPr>
      <t>LA</t>
    </r>
  </si>
  <si>
    <r>
      <rPr>
        <sz val="10"/>
        <color rgb="FF231F20"/>
        <rFont val="Times New Roman"/>
        <family val="1"/>
      </rPr>
      <t>MA</t>
    </r>
  </si>
  <si>
    <r>
      <rPr>
        <sz val="10"/>
        <color rgb="FF231F20"/>
        <rFont val="Times New Roman"/>
        <family val="1"/>
      </rPr>
      <t>MD</t>
    </r>
  </si>
  <si>
    <r>
      <rPr>
        <sz val="10"/>
        <color rgb="FF231F20"/>
        <rFont val="Times New Roman"/>
        <family val="1"/>
      </rPr>
      <t>ME</t>
    </r>
  </si>
  <si>
    <r>
      <rPr>
        <sz val="10"/>
        <color rgb="FF231F20"/>
        <rFont val="Times New Roman"/>
        <family val="1"/>
      </rPr>
      <t>MI</t>
    </r>
  </si>
  <si>
    <r>
      <rPr>
        <sz val="10"/>
        <color rgb="FF231F20"/>
        <rFont val="Times New Roman"/>
        <family val="1"/>
      </rPr>
      <t>MN</t>
    </r>
  </si>
  <si>
    <r>
      <rPr>
        <sz val="10"/>
        <color rgb="FF231F20"/>
        <rFont val="Times New Roman"/>
        <family val="1"/>
      </rPr>
      <t>MO</t>
    </r>
  </si>
  <si>
    <r>
      <rPr>
        <sz val="10"/>
        <color rgb="FF231F20"/>
        <rFont val="Times New Roman"/>
        <family val="1"/>
      </rPr>
      <t>MS</t>
    </r>
  </si>
  <si>
    <r>
      <rPr>
        <sz val="10"/>
        <color rgb="FF231F20"/>
        <rFont val="Times New Roman"/>
        <family val="1"/>
      </rPr>
      <t>MT</t>
    </r>
  </si>
  <si>
    <r>
      <rPr>
        <sz val="10"/>
        <color rgb="FF231F20"/>
        <rFont val="Times New Roman"/>
        <family val="1"/>
      </rPr>
      <t>NC</t>
    </r>
  </si>
  <si>
    <r>
      <rPr>
        <sz val="10"/>
        <color rgb="FF231F20"/>
        <rFont val="Times New Roman"/>
        <family val="1"/>
      </rPr>
      <t>ND</t>
    </r>
  </si>
  <si>
    <r>
      <rPr>
        <sz val="10"/>
        <color rgb="FF231F20"/>
        <rFont val="Times New Roman"/>
        <family val="1"/>
      </rPr>
      <t>NE</t>
    </r>
  </si>
  <si>
    <r>
      <rPr>
        <sz val="10"/>
        <color rgb="FF231F20"/>
        <rFont val="Times New Roman"/>
        <family val="1"/>
      </rPr>
      <t>NH</t>
    </r>
  </si>
  <si>
    <r>
      <rPr>
        <sz val="10"/>
        <color rgb="FF231F20"/>
        <rFont val="Times New Roman"/>
        <family val="1"/>
      </rPr>
      <t>NJ</t>
    </r>
  </si>
  <si>
    <r>
      <rPr>
        <sz val="10"/>
        <color rgb="FF231F20"/>
        <rFont val="Times New Roman"/>
        <family val="1"/>
      </rPr>
      <t>NM</t>
    </r>
  </si>
  <si>
    <r>
      <rPr>
        <sz val="10"/>
        <color rgb="FF231F20"/>
        <rFont val="Times New Roman"/>
        <family val="1"/>
      </rPr>
      <t>NV</t>
    </r>
  </si>
  <si>
    <r>
      <rPr>
        <sz val="10"/>
        <color rgb="FF231F20"/>
        <rFont val="Times New Roman"/>
        <family val="1"/>
      </rPr>
      <t>NY</t>
    </r>
  </si>
  <si>
    <r>
      <rPr>
        <sz val="10"/>
        <color rgb="FF231F20"/>
        <rFont val="Times New Roman"/>
        <family val="1"/>
      </rPr>
      <t>OH</t>
    </r>
  </si>
  <si>
    <r>
      <rPr>
        <sz val="10"/>
        <color rgb="FF231F20"/>
        <rFont val="Times New Roman"/>
        <family val="1"/>
      </rPr>
      <t>OK</t>
    </r>
  </si>
  <si>
    <r>
      <rPr>
        <sz val="10"/>
        <color rgb="FF231F20"/>
        <rFont val="Times New Roman"/>
        <family val="1"/>
      </rPr>
      <t>OR</t>
    </r>
  </si>
  <si>
    <r>
      <rPr>
        <sz val="10"/>
        <color rgb="FF231F20"/>
        <rFont val="Times New Roman"/>
        <family val="1"/>
      </rPr>
      <t>PA</t>
    </r>
  </si>
  <si>
    <r>
      <rPr>
        <sz val="10"/>
        <color rgb="FF231F20"/>
        <rFont val="Times New Roman"/>
        <family val="1"/>
      </rPr>
      <t>RI</t>
    </r>
  </si>
  <si>
    <r>
      <rPr>
        <sz val="10"/>
        <color rgb="FF231F20"/>
        <rFont val="Times New Roman"/>
        <family val="1"/>
      </rPr>
      <t>SC</t>
    </r>
  </si>
  <si>
    <r>
      <rPr>
        <sz val="10"/>
        <color rgb="FF231F20"/>
        <rFont val="Times New Roman"/>
        <family val="1"/>
      </rPr>
      <t>SD</t>
    </r>
  </si>
  <si>
    <r>
      <rPr>
        <sz val="10"/>
        <color rgb="FF231F20"/>
        <rFont val="Times New Roman"/>
        <family val="1"/>
      </rPr>
      <t>TN</t>
    </r>
  </si>
  <si>
    <r>
      <rPr>
        <sz val="10"/>
        <color rgb="FF231F20"/>
        <rFont val="Times New Roman"/>
        <family val="1"/>
      </rPr>
      <t>TX</t>
    </r>
  </si>
  <si>
    <r>
      <rPr>
        <sz val="10"/>
        <color rgb="FF231F20"/>
        <rFont val="Times New Roman"/>
        <family val="1"/>
      </rPr>
      <t>UT</t>
    </r>
  </si>
  <si>
    <r>
      <rPr>
        <sz val="10"/>
        <color rgb="FF231F20"/>
        <rFont val="Times New Roman"/>
        <family val="1"/>
      </rPr>
      <t>VA</t>
    </r>
  </si>
  <si>
    <r>
      <rPr>
        <sz val="10"/>
        <color rgb="FF231F20"/>
        <rFont val="Times New Roman"/>
        <family val="1"/>
      </rPr>
      <t>VT</t>
    </r>
  </si>
  <si>
    <r>
      <rPr>
        <sz val="10"/>
        <color rgb="FF231F20"/>
        <rFont val="Times New Roman"/>
        <family val="1"/>
      </rPr>
      <t>WA</t>
    </r>
  </si>
  <si>
    <r>
      <rPr>
        <sz val="10"/>
        <color rgb="FF231F20"/>
        <rFont val="Times New Roman"/>
        <family val="1"/>
      </rPr>
      <t>WI</t>
    </r>
  </si>
  <si>
    <r>
      <rPr>
        <sz val="10"/>
        <color rgb="FF231F20"/>
        <rFont val="Times New Roman"/>
        <family val="1"/>
      </rPr>
      <t>WV</t>
    </r>
  </si>
  <si>
    <r>
      <rPr>
        <sz val="10"/>
        <color rgb="FF231F20"/>
        <rFont val="Times New Roman"/>
        <family val="1"/>
      </rPr>
      <t>WY</t>
    </r>
  </si>
  <si>
    <t>Based on "Electricity generating units" Sector (3% discount rate); 2015$</t>
  </si>
  <si>
    <t>Year</t>
  </si>
  <si>
    <t>Low</t>
  </si>
  <si>
    <t>High</t>
  </si>
  <si>
    <t>1 metric tons (tonnes) = 1.1023 U.S. tons (short tons)</t>
  </si>
  <si>
    <t>Avoided health damages from NO2 (2015$)</t>
  </si>
  <si>
    <t>Avoided health damages from SO2 (2015$)</t>
  </si>
  <si>
    <t>Avoided health damages from PM2.5 (2015$)</t>
  </si>
  <si>
    <t>Avoided health damages from NO2 (2017$)</t>
  </si>
  <si>
    <t>Avoided health damages from SO2 (2017$)</t>
  </si>
  <si>
    <t>Avoided health damages from PM2.5 (2017$)</t>
  </si>
  <si>
    <t>Avoided health damages from Ozone (2017$)</t>
  </si>
  <si>
    <t>3% average values</t>
  </si>
  <si>
    <t>Social cost of carbon ($/metric ton) (global; 2017$)</t>
  </si>
  <si>
    <t>Social cost of carbon ($/metric ton) (domestic; 2017$)</t>
  </si>
  <si>
    <t>Electricity savings from canopy cover increase (2017$)</t>
  </si>
  <si>
    <r>
      <t xml:space="preserve">Annual benefits, </t>
    </r>
    <r>
      <rPr>
        <b/>
        <sz val="11"/>
        <color theme="1"/>
        <rFont val="Calibri"/>
        <family val="2"/>
        <scheme val="minor"/>
      </rPr>
      <t>global</t>
    </r>
    <r>
      <rPr>
        <sz val="11"/>
        <color theme="1"/>
        <rFont val="Calibri"/>
        <family val="2"/>
        <scheme val="minor"/>
      </rPr>
      <t xml:space="preserve"> (2017$)</t>
    </r>
  </si>
  <si>
    <r>
      <t xml:space="preserve">Annual benefits, </t>
    </r>
    <r>
      <rPr>
        <b/>
        <sz val="11"/>
        <color theme="1"/>
        <rFont val="Calibri"/>
        <family val="2"/>
        <scheme val="minor"/>
      </rPr>
      <t>domestic</t>
    </r>
    <r>
      <rPr>
        <sz val="11"/>
        <color theme="1"/>
        <rFont val="Calibri"/>
        <family val="2"/>
        <scheme val="minor"/>
      </rPr>
      <t xml:space="preserve"> (2017$)</t>
    </r>
  </si>
  <si>
    <t>https://www.eia.gov/electricity/data/browser/#/topic/7?agg=1,0&amp;geo=vvvvvvvvvvvvo&amp;endsec=8&amp;freq=A&amp;start=2001&amp;end=2018&amp;ctype=linechart&amp;ltype=pin&amp;rtype=s&amp;maptype=0&amp;rse=0&amp;pin=</t>
  </si>
  <si>
    <t>Source: U.S. Energy Information Administration</t>
  </si>
  <si>
    <t>State/Region</t>
  </si>
  <si>
    <t>United States</t>
  </si>
  <si>
    <t>New England</t>
  </si>
  <si>
    <t>Middle Atlantic</t>
  </si>
  <si>
    <t>East North Central</t>
  </si>
  <si>
    <t>West North Central</t>
  </si>
  <si>
    <t>South Atlantic</t>
  </si>
  <si>
    <t>District Of Columbia</t>
  </si>
  <si>
    <t>East South Central</t>
  </si>
  <si>
    <t>West South Central</t>
  </si>
  <si>
    <t>Mountain</t>
  </si>
  <si>
    <t>Pacific Contiguous</t>
  </si>
  <si>
    <t>Pacific Noncontiguous</t>
  </si>
  <si>
    <t>Alaska</t>
  </si>
  <si>
    <t>Hawaii</t>
  </si>
  <si>
    <t>Global
(2007$)</t>
  </si>
  <si>
    <t>Domestic
(2016$)</t>
  </si>
  <si>
    <t>SO2 (2017$)</t>
  </si>
  <si>
    <t>NO2 (2017$)</t>
  </si>
  <si>
    <t>PM2.5 (2017$)</t>
  </si>
  <si>
    <t>Electricity Savings</t>
  </si>
  <si>
    <t>Average retail price of electricity (cents per kilowatthour)</t>
  </si>
  <si>
    <t>Regional Emission rates (AVERT) - Uniform EE (2017)</t>
  </si>
  <si>
    <t>2017 AVERT Emission Factors</t>
  </si>
  <si>
    <t>National Emission Factors</t>
  </si>
  <si>
    <t>National Weighted Averages (lb/MWh)</t>
  </si>
  <si>
    <t> </t>
  </si>
  <si>
    <t>Wind</t>
  </si>
  <si>
    <t>Utility PV</t>
  </si>
  <si>
    <t>Portfolio EE</t>
  </si>
  <si>
    <t>Uniform EE</t>
  </si>
  <si>
    <r>
      <t>Avoided CO</t>
    </r>
    <r>
      <rPr>
        <vertAlign val="subscript"/>
        <sz val="9"/>
        <rFont val="Calibri"/>
        <family val="2"/>
        <scheme val="minor"/>
      </rPr>
      <t>2</t>
    </r>
    <r>
      <rPr>
        <sz val="9"/>
        <rFont val="Calibri"/>
        <family val="2"/>
        <scheme val="minor"/>
      </rPr>
      <t xml:space="preserve"> Rate</t>
    </r>
  </si>
  <si>
    <r>
      <t>Avoided NO</t>
    </r>
    <r>
      <rPr>
        <vertAlign val="subscript"/>
        <sz val="9"/>
        <rFont val="Calibri"/>
        <family val="2"/>
        <scheme val="minor"/>
      </rPr>
      <t>x</t>
    </r>
    <r>
      <rPr>
        <sz val="9"/>
        <rFont val="Calibri"/>
        <family val="2"/>
        <scheme val="minor"/>
      </rPr>
      <t xml:space="preserve"> Rate</t>
    </r>
  </si>
  <si>
    <r>
      <t>Avoided SO</t>
    </r>
    <r>
      <rPr>
        <vertAlign val="subscript"/>
        <sz val="9"/>
        <rFont val="Calibri"/>
        <family val="2"/>
        <scheme val="minor"/>
      </rPr>
      <t>2</t>
    </r>
    <r>
      <rPr>
        <sz val="9"/>
        <rFont val="Calibri"/>
        <family val="2"/>
        <scheme val="minor"/>
      </rPr>
      <t xml:space="preserve"> Rate</t>
    </r>
  </si>
  <si>
    <r>
      <t>Avoided PM</t>
    </r>
    <r>
      <rPr>
        <vertAlign val="subscript"/>
        <sz val="9"/>
        <rFont val="Calibri"/>
        <family val="2"/>
        <scheme val="minor"/>
      </rPr>
      <t>2.5</t>
    </r>
    <r>
      <rPr>
        <sz val="9"/>
        <rFont val="Calibri"/>
        <family val="2"/>
        <scheme val="minor"/>
      </rPr>
      <t xml:space="preserve"> Rate</t>
    </r>
  </si>
  <si>
    <t>National factors presented here reflect a weighted average of the avoided emission rates of AVERT’s 10 regions. Averages are weighted by the fraction of 2017 fossil generation in each region.</t>
  </si>
  <si>
    <t>Regional Emission Factors</t>
  </si>
  <si>
    <t>Avoided CO2 Rate (lb/MWh) </t>
  </si>
  <si>
    <t>Avoided NOx Rate (lb/MWh)</t>
  </si>
  <si>
    <t>Avoided SO2 Rate (lb/MWh)</t>
  </si>
  <si>
    <t>Avoided PM2.5 Rate (lb/MWh) </t>
  </si>
  <si>
    <r>
      <rPr>
        <b/>
        <sz val="10"/>
        <color theme="1"/>
        <rFont val="Calibri"/>
        <family val="2"/>
        <scheme val="minor"/>
      </rPr>
      <t xml:space="preserve">Wind </t>
    </r>
    <r>
      <rPr>
        <sz val="10"/>
        <color theme="1"/>
        <rFont val="Calibri"/>
        <family val="2"/>
        <scheme val="minor"/>
      </rPr>
      <t>= Wind power generation</t>
    </r>
  </si>
  <si>
    <r>
      <rPr>
        <b/>
        <sz val="10"/>
        <color theme="1"/>
        <rFont val="Calibri"/>
        <family val="2"/>
        <scheme val="minor"/>
      </rPr>
      <t>Utility PV</t>
    </r>
    <r>
      <rPr>
        <sz val="10"/>
        <color theme="1"/>
        <rFont val="Calibri"/>
        <family val="2"/>
        <scheme val="minor"/>
      </rPr>
      <t xml:space="preserve"> = Utility-scale photovoltaic power generation</t>
    </r>
  </si>
  <si>
    <r>
      <rPr>
        <b/>
        <sz val="10"/>
        <color theme="1"/>
        <rFont val="Calibri"/>
        <family val="2"/>
        <scheme val="minor"/>
      </rPr>
      <t xml:space="preserve">Portfolio EE </t>
    </r>
    <r>
      <rPr>
        <sz val="10"/>
        <color theme="1"/>
        <rFont val="Calibri"/>
        <family val="2"/>
        <scheme val="minor"/>
      </rPr>
      <t>= Represents a wide range of EE program types</t>
    </r>
  </si>
  <si>
    <r>
      <rPr>
        <b/>
        <sz val="10"/>
        <color theme="1"/>
        <rFont val="Calibri"/>
        <family val="2"/>
        <scheme val="minor"/>
      </rPr>
      <t xml:space="preserve">Uniform EE </t>
    </r>
    <r>
      <rPr>
        <sz val="10"/>
        <color theme="1"/>
        <rFont val="Calibri"/>
        <family val="2"/>
        <scheme val="minor"/>
      </rPr>
      <t>= Represents consistent energy savings throughout the year</t>
    </r>
  </si>
  <si>
    <t>Source: Nowak et al. (2017); personal communication</t>
  </si>
  <si>
    <t xml:space="preserve">Source: https://www.epa.gov/sites/production/files/2018-02/documents/sourceapportionmentbpttsd_2018.pdf </t>
  </si>
  <si>
    <t xml:space="preserve">Sources: </t>
  </si>
  <si>
    <t xml:space="preserve">Global: </t>
  </si>
  <si>
    <t>https://19january2017snapshot.epa.gov/sites/production/files/2016-12/documents/sc_co2_tsd_august_2016.pdf</t>
  </si>
  <si>
    <t>Domestic:</t>
  </si>
  <si>
    <t xml:space="preserve">https://www.epa.gov/sites/production/files/2019-06/documents/utilities_ria_final_cpp_repeal_and_ace_2019-06.pdf </t>
  </si>
  <si>
    <t xml:space="preserve">Source: https://www.epa.gov/statelocalenergy/avoided-emission-factors-generated-avert </t>
  </si>
  <si>
    <t>CO2</t>
  </si>
  <si>
    <t>NO2 avoided from U/C trees (U.S tons)</t>
  </si>
  <si>
    <t>SO2 avoided from U/C trees (U.S. tons)</t>
  </si>
  <si>
    <t>PM2.5 avoided from U/C trees (U.S. tons)</t>
  </si>
  <si>
    <t>Increase in urban/community trees (acres)</t>
  </si>
  <si>
    <t>Increase in urban/community trees (hectares)</t>
  </si>
  <si>
    <t>CO2 avoided from U/C trees (metric tons)</t>
  </si>
  <si>
    <t>Avoided Health Damages from Canopy Cover (Tree Removal)</t>
  </si>
  <si>
    <t>Avoided Health Damages from Urban/Community Trees (Avoided Power Plant Emissions)</t>
  </si>
  <si>
    <t>Avoided CO2 emissions from Urban/Community Trees (Avoided Power Plant Emissions)</t>
  </si>
  <si>
    <t>metric tons/acre</t>
  </si>
  <si>
    <t>Benefit Calculations</t>
  </si>
  <si>
    <t xml:space="preserve">ScenCompare will calculate benefits related to outcomes targeted by a management practice (direct benefits) and </t>
  </si>
  <si>
    <t>DROP DOWN LISTS - DO NOT REMOVE!</t>
  </si>
  <si>
    <t>benefits that arise from other outcomes of implementing the management practice selected to meet the target (co-benefits).</t>
  </si>
  <si>
    <t>Daily</t>
  </si>
  <si>
    <t>1. Study Characteristics</t>
  </si>
  <si>
    <t>Monthly</t>
  </si>
  <si>
    <t>Annually</t>
  </si>
  <si>
    <t xml:space="preserve">1A. </t>
  </si>
  <si>
    <t>Specify the year of the analysis.</t>
  </si>
  <si>
    <t>Specify the dollar year in which you'd like to evaluate benefits.</t>
  </si>
  <si>
    <t>$2019</t>
  </si>
  <si>
    <t>If calculating management option co-benefits (see Section 3), choose if you would like to calculate co-benefits using the global or domestic social cost of carbon.</t>
  </si>
  <si>
    <t>Global social cost of carbon</t>
  </si>
  <si>
    <r>
      <t xml:space="preserve">$/metric ton; </t>
    </r>
    <r>
      <rPr>
        <i/>
        <sz val="11"/>
        <color theme="1"/>
        <rFont val="Calibri"/>
        <family val="2"/>
        <scheme val="minor"/>
      </rPr>
      <t>delete either the global or domestic cost as appropriate</t>
    </r>
  </si>
  <si>
    <t>Domestic social cost of carbon</t>
  </si>
  <si>
    <t>$2016</t>
  </si>
  <si>
    <t>$2017</t>
  </si>
  <si>
    <t>1B.</t>
  </si>
  <si>
    <t xml:space="preserve">ScenCompare uses several databases to calculate management option direct benefits and co-benefits. The databases are based on USGS' fourth level of hydrologic unit classification (HUC12). </t>
  </si>
  <si>
    <t>$2018</t>
  </si>
  <si>
    <t>Enter characteristics of your study area. Setup the HRU table before the HUC12 table.</t>
  </si>
  <si>
    <t>Enter the number of HUC12s that make up your 
study area (up to 20).</t>
  </si>
  <si>
    <t>Select each data header for more information.</t>
  </si>
  <si>
    <t>HRU Name</t>
  </si>
  <si>
    <t>Agricultural land</t>
  </si>
  <si>
    <t>Residential land</t>
  </si>
  <si>
    <t>Green space percentage</t>
  </si>
  <si>
    <t>HUC12 ID</t>
  </si>
  <si>
    <t>Proportion of HUC12 (percentage)</t>
  </si>
  <si>
    <t>Turfgrass A/B Montgomery County</t>
  </si>
  <si>
    <t>Turfgrass C/D Montgomery County</t>
  </si>
  <si>
    <t>Turfgrass A/B  City of Rockville</t>
  </si>
  <si>
    <t>Turfgrass C/D  City of Rockville</t>
  </si>
  <si>
    <t>Turfgrass A/B MD State Highway Administration</t>
  </si>
  <si>
    <t>Turfgrass C/D MD State Highway Administration</t>
  </si>
  <si>
    <t>Turfgrass A/B Other Regulated</t>
  </si>
  <si>
    <t>Turfgrass C/D Other Regulated</t>
  </si>
  <si>
    <t>Natural</t>
  </si>
  <si>
    <t>Water</t>
  </si>
  <si>
    <t>Utility photovoltaic (PV)</t>
  </si>
  <si>
    <t>Portfolio energy efficiency</t>
  </si>
  <si>
    <t>Uniform energy efficiency</t>
  </si>
  <si>
    <t xml:space="preserve">2. </t>
  </si>
  <si>
    <t>Calculation of Direct Benefits</t>
  </si>
  <si>
    <t>Once input values have been entered below, use this button to calculate the value of direct benefits.</t>
  </si>
  <si>
    <t>If any of the direct benefit calculations are inappropriate for your study area, leave the model run choices blank under step 2A.</t>
  </si>
  <si>
    <t>2A.</t>
  </si>
  <si>
    <t xml:space="preserve">Choose the appropriate baseline and </t>
  </si>
  <si>
    <r>
      <t xml:space="preserve">Fill out the </t>
    </r>
    <r>
      <rPr>
        <b/>
        <sz val="11"/>
        <rFont val="Calibri"/>
        <family val="2"/>
        <scheme val="minor"/>
      </rPr>
      <t xml:space="preserve">blue </t>
    </r>
    <r>
      <rPr>
        <sz val="11"/>
        <rFont val="Calibri"/>
        <family val="2"/>
        <scheme val="minor"/>
      </rPr>
      <t>input cells to compute the direct benefit value of…</t>
    </r>
  </si>
  <si>
    <t>managed model runs below.</t>
  </si>
  <si>
    <t>Baseline Model Run</t>
  </si>
  <si>
    <t>Estimated ratio of turbidity to TSS</t>
  </si>
  <si>
    <t>1.5 by default; see User Guide</t>
  </si>
  <si>
    <t>Total avoided water treatment costs</t>
  </si>
  <si>
    <t>TSS_BaselineWTP</t>
  </si>
  <si>
    <t xml:space="preserve">Cost of alum </t>
  </si>
  <si>
    <t>$/ton</t>
  </si>
  <si>
    <t>Managed Model Run</t>
  </si>
  <si>
    <t>$ year</t>
  </si>
  <si>
    <t>TSS_ScenWTP</t>
  </si>
  <si>
    <t>Baseline Model Run - TN</t>
  </si>
  <si>
    <t>Indicate below if your case study falls into any of the three defined US regions.</t>
  </si>
  <si>
    <t>TN_Baseline</t>
  </si>
  <si>
    <t xml:space="preserve"> If your case study does not fall into any of the three, leave all values as zero.</t>
  </si>
  <si>
    <t xml:space="preserve">Annualized willingness-to-pay for </t>
  </si>
  <si>
    <t>Baseline Model Run - TP</t>
  </si>
  <si>
    <t>1 if located in the Northeast (ME, NH, VT, MA, RI, CT, and NY); 0 otherwise</t>
  </si>
  <si>
    <t>water quality changes</t>
  </si>
  <si>
    <t>TP_Baseline</t>
  </si>
  <si>
    <t>Central</t>
  </si>
  <si>
    <t>1 if located in the Central US (OH, MI, IN, IL, WI, MN, IA, MO, ND, SD, NE, KS, MT, WY, UT, and CO); 0 otherwise</t>
  </si>
  <si>
    <t>Baseline Model Run - TSS</t>
  </si>
  <si>
    <t>South</t>
  </si>
  <si>
    <t>1 if located in the South (NC, SC, GA, FL, KY, TN, MS, AL, AR, LA, OK, TX, and NM); 0 otherwise</t>
  </si>
  <si>
    <t>Model Run Estimating TN Changes</t>
  </si>
  <si>
    <t>TN_Scenario</t>
  </si>
  <si>
    <t>Model Run Estimating TP Changes</t>
  </si>
  <si>
    <t>TP_Scenario</t>
  </si>
  <si>
    <t>Specify the dollar year of the income data.</t>
  </si>
  <si>
    <t>Specify the data frequency of BOD, DO, and FC data</t>
  </si>
  <si>
    <t>Model Run Estimating TSS Changes</t>
  </si>
  <si>
    <t>Total Direct Benefits</t>
  </si>
  <si>
    <t>3. Calculation of Co-benefits</t>
  </si>
  <si>
    <t>Select a model below using the drop-down list.</t>
  </si>
  <si>
    <t>Model run to calculate co-benefits</t>
  </si>
  <si>
    <t>Once a model is selected, use this button to identify which BMPs were chosen by your model.</t>
  </si>
  <si>
    <t>If any of the co-benefit calculations are inappropriate for your study area, unbold the associated BMP under Step 3A.</t>
  </si>
  <si>
    <t>Once input values have been entered below, use this button to calculate the value of co-benefits.</t>
  </si>
  <si>
    <t>3A.</t>
  </si>
  <si>
    <t xml:space="preserve">BMPs chosen by your model are </t>
  </si>
  <si>
    <r>
      <t xml:space="preserve">Fill out the </t>
    </r>
    <r>
      <rPr>
        <b/>
        <sz val="11"/>
        <rFont val="Calibri"/>
        <family val="2"/>
        <scheme val="minor"/>
      </rPr>
      <t>blue</t>
    </r>
    <r>
      <rPr>
        <sz val="11"/>
        <rFont val="Calibri"/>
        <family val="2"/>
        <scheme val="minor"/>
      </rPr>
      <t xml:space="preserve"> input cells to compute the co-benefit value of…</t>
    </r>
  </si>
  <si>
    <t>in bold below.</t>
  </si>
  <si>
    <t>Change in housing property value due to improved aesthetic quality of the landscape from increases in green space</t>
  </si>
  <si>
    <t>Acres of increased green space</t>
  </si>
  <si>
    <t>WMOST results</t>
  </si>
  <si>
    <t>Change in property values</t>
  </si>
  <si>
    <t>Tree cover</t>
  </si>
  <si>
    <t>% of the increase in open space - bioretention basin</t>
  </si>
  <si>
    <t>% of the increase in open space - grass swale</t>
  </si>
  <si>
    <t>% of the increase in open space - gravel wetland</t>
  </si>
  <si>
    <t>% of the increase in open space - riparian buffer</t>
  </si>
  <si>
    <t>% of the increase in open space - direct reduction tree canopy</t>
  </si>
  <si>
    <t>% of the increase in open space - Turfgrass A/B Montgomery County</t>
  </si>
  <si>
    <t>% of the increase in open space - Turfgrass C/D Montgomery County</t>
  </si>
  <si>
    <t>% of the increase in open space - Turfgrass A/B  City of Rockville</t>
  </si>
  <si>
    <t>% of the increase in open space - Turfgrass C/D  City of Rockville</t>
  </si>
  <si>
    <t>% of the increase in open space - Turfgrass A/B MD State Highway Administration</t>
  </si>
  <si>
    <t>% of the increase in open space - Turfgrass C/D MD State Highway Administration</t>
  </si>
  <si>
    <t>% of the increase in open space - Turfgrass A/B Other Regulated</t>
  </si>
  <si>
    <t>% of the increase in open space - Turfgrass C/D Other Regulated</t>
  </si>
  <si>
    <t>% of the increase in open space - Natural</t>
  </si>
  <si>
    <t>% of the increase in open space - Water</t>
  </si>
  <si>
    <t>% of the increase in open space - HRU1</t>
  </si>
  <si>
    <t>Air pollution removal and energy savings benefits related to canopy cover</t>
  </si>
  <si>
    <t>Canopy cover benefits</t>
  </si>
  <si>
    <t>Acres of increased canopy cover</t>
  </si>
  <si>
    <t>Lower Bound</t>
  </si>
  <si>
    <t>Upper Bound</t>
  </si>
  <si>
    <t>Air pollution removal and energy savings benefits related to green roofs</t>
  </si>
  <si>
    <t>Green roof benefits</t>
  </si>
  <si>
    <t>Acres of green roof</t>
  </si>
  <si>
    <t>Direct energy savings</t>
  </si>
  <si>
    <t>kWh/year</t>
  </si>
  <si>
    <t>AVERT region</t>
  </si>
  <si>
    <t>Source of energy savings</t>
  </si>
  <si>
    <t>AVERT emission factor category</t>
  </si>
  <si>
    <t>Price of electricity for residential customers</t>
  </si>
  <si>
    <t>$/MWh</t>
  </si>
  <si>
    <t>Total Co-Benefits</t>
  </si>
  <si>
    <t>Average retail price of residential electricity (cents per kilowatthour)</t>
  </si>
  <si>
    <t>Residential electricity rate (cents per kilowatthour; 2017$)</t>
  </si>
  <si>
    <t>Residential electricity rate (dollars per megawatt hour; 2017$)</t>
  </si>
  <si>
    <t>Total value of energy savings from green roofs (2017$/year)</t>
  </si>
  <si>
    <t>2017</t>
  </si>
  <si>
    <t>dollar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</si>
</sst>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&quot;$&quot;#,##0.00"/>
    <numFmt numFmtId="166" formatCode="&quot;$&quot;#,##0"/>
    <numFmt numFmtId="167" formatCode="_(* #,##0_);_(* \(#,##0\);_(* &quot;-&quot;??_);_(@_)"/>
    <numFmt numFmtId="168" formatCode="0.00000"/>
    <numFmt numFmtId="169" formatCode="0.0"/>
    <numFmt numFmtId="170" formatCode="#,##0.0"/>
    <numFmt numFmtId="171" formatCode="#,##0.000"/>
    <numFmt numFmtId="172" formatCode="#,##0.0_);\(#,##0.0\)"/>
    <numFmt numFmtId="173" formatCode="#,##0.000_);\(#,##0.000\)"/>
    <numFmt numFmtId="174" formatCode="_(&quot;$&quot;* #,##0_);_(&quot;$&quot;* \(#,##0\);_(&quot;$&quot;* &quot;-&quot;??_);_(@_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name val="MS Sans Serif"/>
      <family val="2"/>
    </font>
    <font>
      <sz val="11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10"/>
      <name val="Times New Roman"/>
      <family val="1"/>
    </font>
    <font>
      <b/>
      <sz val="10"/>
      <color rgb="FF231F20"/>
      <name val="Times New Roman"/>
      <family val="1"/>
    </font>
    <font>
      <sz val="10"/>
      <name val="Times New Roman"/>
      <family val="1"/>
    </font>
    <font>
      <sz val="10"/>
      <color rgb="FF231F20"/>
      <name val="Times New Roman"/>
      <family val="1"/>
    </font>
    <font>
      <b/>
      <sz val="18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vertAlign val="subscript"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56"/>
        <bgColor indexed="23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D1B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B8B7"/>
        <bgColor rgb="FFE6B8B7"/>
      </patternFill>
    </fill>
    <fill>
      <patternFill patternType="solid">
        <fgColor rgb="FFE6B8B7"/>
        <bgColor indexed="64"/>
      </patternFill>
    </fill>
    <fill>
      <patternFill patternType="solid">
        <fgColor theme="0"/>
        <bgColor rgb="FFE6B8B7"/>
      </patternFill>
    </fill>
    <fill>
      <patternFill patternType="solid">
        <fgColor rgb="FFD8E4BC"/>
        <bgColor indexed="64"/>
      </patternFill>
    </fill>
  </fills>
  <borders count="2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23" fillId="0" borderId="0"/>
  </cellStyleXfs>
  <cellXfs count="334">
    <xf numFmtId="0" fontId="0" fillId="0" borderId="0" xfId="0"/>
    <xf numFmtId="0" fontId="0" fillId="0" borderId="0" xfId="0" applyFill="1"/>
    <xf numFmtId="0" fontId="0" fillId="0" borderId="0" xfId="0" applyFill="1" applyBorder="1"/>
    <xf numFmtId="0" fontId="4" fillId="0" borderId="0" xfId="0" applyFont="1"/>
    <xf numFmtId="0" fontId="0" fillId="0" borderId="0" xfId="0" applyAlignment="1">
      <alignment wrapText="1"/>
    </xf>
    <xf numFmtId="0" fontId="6" fillId="0" borderId="0" xfId="3"/>
    <xf numFmtId="0" fontId="9" fillId="3" borderId="1" xfId="3" applyFont="1" applyFill="1" applyBorder="1" applyAlignment="1">
      <alignment horizontal="center"/>
    </xf>
    <xf numFmtId="0" fontId="10" fillId="0" borderId="0" xfId="3" applyFont="1"/>
    <xf numFmtId="166" fontId="0" fillId="0" borderId="0" xfId="0" applyNumberFormat="1"/>
    <xf numFmtId="0" fontId="0" fillId="0" borderId="0" xfId="0" applyAlignment="1">
      <alignment horizontal="right"/>
    </xf>
    <xf numFmtId="0" fontId="11" fillId="0" borderId="0" xfId="0" applyFont="1"/>
    <xf numFmtId="43" fontId="0" fillId="0" borderId="0" xfId="0" applyNumberFormat="1"/>
    <xf numFmtId="0" fontId="0" fillId="0" borderId="0" xfId="0" applyBorder="1"/>
    <xf numFmtId="0" fontId="11" fillId="0" borderId="0" xfId="0" applyFont="1" applyFill="1" applyBorder="1"/>
    <xf numFmtId="0" fontId="0" fillId="4" borderId="2" xfId="0" applyFill="1" applyBorder="1"/>
    <xf numFmtId="0" fontId="0" fillId="0" borderId="4" xfId="0" applyBorder="1"/>
    <xf numFmtId="165" fontId="0" fillId="0" borderId="0" xfId="0" applyNumberFormat="1"/>
    <xf numFmtId="169" fontId="0" fillId="0" borderId="0" xfId="0" applyNumberFormat="1"/>
    <xf numFmtId="0" fontId="0" fillId="0" borderId="6" xfId="0" applyBorder="1"/>
    <xf numFmtId="0" fontId="0" fillId="0" borderId="0" xfId="0"/>
    <xf numFmtId="43" fontId="15" fillId="0" borderId="0" xfId="0" applyNumberFormat="1" applyFont="1"/>
    <xf numFmtId="0" fontId="15" fillId="0" borderId="0" xfId="0" applyFont="1"/>
    <xf numFmtId="0" fontId="0" fillId="0" borderId="0" xfId="0" applyFill="1" applyBorder="1" applyAlignment="1">
      <alignment horizontal="left"/>
    </xf>
    <xf numFmtId="9" fontId="0" fillId="0" borderId="0" xfId="0" applyNumberFormat="1" applyFill="1" applyBorder="1" applyAlignment="1">
      <alignment horizontal="left"/>
    </xf>
    <xf numFmtId="166" fontId="0" fillId="2" borderId="6" xfId="0" applyNumberFormat="1" applyFill="1" applyBorder="1"/>
    <xf numFmtId="165" fontId="0" fillId="0" borderId="0" xfId="0" applyNumberFormat="1" applyBorder="1"/>
    <xf numFmtId="165" fontId="0" fillId="0" borderId="0" xfId="2" applyNumberFormat="1" applyFont="1" applyBorder="1"/>
    <xf numFmtId="0" fontId="12" fillId="0" borderId="0" xfId="4" applyBorder="1"/>
    <xf numFmtId="0" fontId="0" fillId="0" borderId="6" xfId="0" applyFill="1" applyBorder="1"/>
    <xf numFmtId="0" fontId="0" fillId="0" borderId="6" xfId="0" applyFont="1" applyFill="1" applyBorder="1"/>
    <xf numFmtId="0" fontId="4" fillId="0" borderId="7" xfId="0" applyFont="1" applyFill="1" applyBorder="1"/>
    <xf numFmtId="165" fontId="4" fillId="0" borderId="7" xfId="0" applyNumberFormat="1" applyFont="1" applyBorder="1"/>
    <xf numFmtId="0" fontId="0" fillId="0" borderId="0" xfId="0" applyFont="1" applyFill="1" applyBorder="1"/>
    <xf numFmtId="170" fontId="0" fillId="0" borderId="0" xfId="0" applyNumberFormat="1" applyFont="1" applyFill="1" applyBorder="1" applyAlignment="1">
      <alignment horizontal="center" vertical="center" wrapText="1"/>
    </xf>
    <xf numFmtId="171" fontId="4" fillId="0" borderId="0" xfId="0" applyNumberFormat="1" applyFont="1" applyFill="1" applyBorder="1" applyAlignment="1">
      <alignment horizontal="center" vertical="center" wrapText="1"/>
    </xf>
    <xf numFmtId="170" fontId="0" fillId="0" borderId="0" xfId="0" applyNumberFormat="1" applyFont="1" applyFill="1" applyBorder="1"/>
    <xf numFmtId="171" fontId="0" fillId="0" borderId="0" xfId="0" applyNumberFormat="1" applyFont="1" applyFill="1" applyBorder="1"/>
    <xf numFmtId="170" fontId="4" fillId="0" borderId="0" xfId="0" applyNumberFormat="1" applyFont="1" applyFill="1" applyBorder="1"/>
    <xf numFmtId="171" fontId="4" fillId="0" borderId="0" xfId="0" applyNumberFormat="1" applyFont="1" applyFill="1" applyBorder="1"/>
    <xf numFmtId="0" fontId="0" fillId="0" borderId="0" xfId="0" applyFont="1" applyFill="1" applyBorder="1" applyAlignment="1">
      <alignment vertical="center" wrapText="1"/>
    </xf>
    <xf numFmtId="0" fontId="0" fillId="7" borderId="0" xfId="0" applyFill="1"/>
    <xf numFmtId="0" fontId="4" fillId="7" borderId="0" xfId="0" applyFont="1" applyFill="1" applyAlignment="1">
      <alignment wrapText="1"/>
    </xf>
    <xf numFmtId="0" fontId="0" fillId="0" borderId="0" xfId="0" applyNumberFormat="1" applyFill="1" applyBorder="1"/>
    <xf numFmtId="3" fontId="0" fillId="0" borderId="0" xfId="0" applyNumberFormat="1" applyFill="1" applyBorder="1"/>
    <xf numFmtId="0" fontId="0" fillId="7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0" borderId="6" xfId="0" applyFont="1" applyBorder="1"/>
    <xf numFmtId="0" fontId="0" fillId="0" borderId="0" xfId="0" quotePrefix="1" applyFill="1" applyBorder="1" applyAlignment="1">
      <alignment wrapText="1"/>
    </xf>
    <xf numFmtId="43" fontId="0" fillId="0" borderId="0" xfId="0" applyNumberFormat="1" applyFill="1" applyBorder="1" applyAlignment="1">
      <alignment horizontal="left"/>
    </xf>
    <xf numFmtId="43" fontId="0" fillId="0" borderId="0" xfId="1" applyFont="1" applyBorder="1"/>
    <xf numFmtId="44" fontId="0" fillId="0" borderId="0" xfId="2" applyFont="1" applyBorder="1"/>
    <xf numFmtId="44" fontId="0" fillId="0" borderId="0" xfId="0" applyNumberFormat="1" applyBorder="1"/>
    <xf numFmtId="2" fontId="0" fillId="0" borderId="0" xfId="2" applyNumberFormat="1" applyFont="1" applyBorder="1"/>
    <xf numFmtId="164" fontId="0" fillId="0" borderId="0" xfId="0" applyNumberFormat="1" applyBorder="1"/>
    <xf numFmtId="37" fontId="0" fillId="0" borderId="0" xfId="0" applyNumberFormat="1" applyBorder="1"/>
    <xf numFmtId="168" fontId="0" fillId="0" borderId="0" xfId="0" applyNumberFormat="1" applyBorder="1"/>
    <xf numFmtId="1" fontId="0" fillId="0" borderId="0" xfId="0" applyNumberFormat="1" applyFill="1" applyBorder="1"/>
    <xf numFmtId="43" fontId="0" fillId="0" borderId="0" xfId="0" applyNumberFormat="1" applyFill="1" applyBorder="1"/>
    <xf numFmtId="166" fontId="0" fillId="0" borderId="0" xfId="0" applyNumberFormat="1" applyFill="1" applyBorder="1"/>
    <xf numFmtId="43" fontId="0" fillId="2" borderId="6" xfId="0" applyNumberFormat="1" applyFill="1" applyBorder="1"/>
    <xf numFmtId="37" fontId="2" fillId="2" borderId="6" xfId="0" applyNumberFormat="1" applyFont="1" applyFill="1" applyBorder="1"/>
    <xf numFmtId="37" fontId="12" fillId="0" borderId="0" xfId="4" applyNumberFormat="1" applyFill="1" applyBorder="1"/>
    <xf numFmtId="1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/>
    <xf numFmtId="0" fontId="6" fillId="0" borderId="0" xfId="3"/>
    <xf numFmtId="0" fontId="0" fillId="0" borderId="6" xfId="0" applyBorder="1" applyAlignment="1">
      <alignment wrapText="1"/>
    </xf>
    <xf numFmtId="44" fontId="4" fillId="11" borderId="0" xfId="0" applyNumberFormat="1" applyFont="1" applyFill="1" applyBorder="1"/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wrapText="1"/>
    </xf>
    <xf numFmtId="0" fontId="24" fillId="0" borderId="0" xfId="43" applyFont="1" applyAlignment="1">
      <alignment horizontal="left" vertical="center"/>
    </xf>
    <xf numFmtId="0" fontId="23" fillId="0" borderId="0" xfId="43" applyAlignment="1">
      <alignment horizontal="left" vertical="top"/>
    </xf>
    <xf numFmtId="0" fontId="25" fillId="0" borderId="0" xfId="43" applyFont="1" applyAlignment="1">
      <alignment horizontal="left" vertical="center" wrapText="1"/>
    </xf>
    <xf numFmtId="0" fontId="26" fillId="0" borderId="0" xfId="43" applyFont="1" applyAlignment="1">
      <alignment horizontal="center" vertical="center" wrapText="1"/>
    </xf>
    <xf numFmtId="0" fontId="24" fillId="0" borderId="0" xfId="43" applyFont="1" applyAlignment="1">
      <alignment horizontal="left" vertical="top"/>
    </xf>
    <xf numFmtId="0" fontId="27" fillId="0" borderId="0" xfId="43" applyFont="1" applyAlignment="1">
      <alignment horizontal="left" vertical="top" wrapText="1"/>
    </xf>
    <xf numFmtId="1" fontId="28" fillId="0" borderId="0" xfId="43" applyNumberFormat="1" applyFont="1" applyAlignment="1">
      <alignment horizontal="left" vertical="top" shrinkToFit="1"/>
    </xf>
    <xf numFmtId="3" fontId="23" fillId="0" borderId="0" xfId="43" applyNumberFormat="1" applyAlignment="1">
      <alignment horizontal="right" vertical="top"/>
    </xf>
    <xf numFmtId="3" fontId="28" fillId="0" borderId="0" xfId="43" applyNumberFormat="1" applyFont="1" applyAlignment="1">
      <alignment horizontal="left" vertical="top" shrinkToFit="1"/>
    </xf>
    <xf numFmtId="169" fontId="28" fillId="0" borderId="0" xfId="43" applyNumberFormat="1" applyFont="1" applyAlignment="1">
      <alignment horizontal="left" vertical="top" shrinkToFit="1"/>
    </xf>
    <xf numFmtId="0" fontId="23" fillId="0" borderId="2" xfId="43" applyBorder="1" applyAlignment="1">
      <alignment horizontal="left" vertical="top"/>
    </xf>
    <xf numFmtId="3" fontId="23" fillId="0" borderId="0" xfId="43" applyNumberFormat="1" applyAlignment="1">
      <alignment horizontal="left" vertical="top"/>
    </xf>
    <xf numFmtId="0" fontId="4" fillId="0" borderId="0" xfId="0" applyFont="1" applyAlignment="1">
      <alignment horizontal="center"/>
    </xf>
    <xf numFmtId="0" fontId="4" fillId="6" borderId="0" xfId="0" applyFont="1" applyFill="1" applyAlignment="1">
      <alignment horizontal="center"/>
    </xf>
    <xf numFmtId="166" fontId="0" fillId="6" borderId="0" xfId="0" applyNumberFormat="1" applyFill="1"/>
    <xf numFmtId="0" fontId="27" fillId="5" borderId="0" xfId="43" applyFont="1" applyFill="1" applyAlignment="1">
      <alignment horizontal="left" vertical="top" wrapText="1"/>
    </xf>
    <xf numFmtId="1" fontId="28" fillId="5" borderId="0" xfId="43" applyNumberFormat="1" applyFont="1" applyFill="1" applyAlignment="1">
      <alignment horizontal="left" vertical="top" shrinkToFit="1"/>
    </xf>
    <xf numFmtId="3" fontId="23" fillId="5" borderId="0" xfId="43" applyNumberFormat="1" applyFill="1" applyAlignment="1">
      <alignment horizontal="right" vertical="top"/>
    </xf>
    <xf numFmtId="0" fontId="23" fillId="5" borderId="0" xfId="43" applyFill="1" applyAlignment="1">
      <alignment horizontal="left" vertical="top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44" fontId="4" fillId="0" borderId="6" xfId="0" applyNumberFormat="1" applyFont="1" applyFill="1" applyBorder="1"/>
    <xf numFmtId="168" fontId="4" fillId="0" borderId="6" xfId="0" applyNumberFormat="1" applyFont="1" applyFill="1" applyBorder="1" applyAlignment="1">
      <alignment horizontal="center"/>
    </xf>
    <xf numFmtId="44" fontId="4" fillId="0" borderId="6" xfId="2" applyFont="1" applyBorder="1" applyAlignment="1">
      <alignment horizontal="center"/>
    </xf>
    <xf numFmtId="0" fontId="24" fillId="0" borderId="0" xfId="43" applyFont="1" applyAlignment="1">
      <alignment horizontal="center" vertical="top"/>
    </xf>
    <xf numFmtId="0" fontId="27" fillId="0" borderId="0" xfId="43" applyFont="1" applyFill="1" applyAlignment="1">
      <alignment horizontal="left" vertical="top" wrapText="1"/>
    </xf>
    <xf numFmtId="1" fontId="28" fillId="0" borderId="0" xfId="43" applyNumberFormat="1" applyFont="1" applyFill="1" applyAlignment="1">
      <alignment horizontal="left" vertical="top" shrinkToFit="1"/>
    </xf>
    <xf numFmtId="3" fontId="23" fillId="0" borderId="0" xfId="43" applyNumberFormat="1" applyFill="1" applyAlignment="1">
      <alignment horizontal="right" vertical="top"/>
    </xf>
    <xf numFmtId="0" fontId="23" fillId="0" borderId="0" xfId="43" applyFill="1" applyAlignment="1">
      <alignment horizontal="left" vertical="top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2" borderId="6" xfId="0" applyFill="1" applyBorder="1"/>
    <xf numFmtId="165" fontId="0" fillId="2" borderId="6" xfId="0" applyNumberFormat="1" applyFill="1" applyBorder="1"/>
    <xf numFmtId="43" fontId="0" fillId="2" borderId="6" xfId="1" applyFont="1" applyFill="1" applyBorder="1"/>
    <xf numFmtId="0" fontId="12" fillId="0" borderId="0" xfId="4" applyFill="1" applyBorder="1"/>
    <xf numFmtId="165" fontId="0" fillId="0" borderId="0" xfId="0" applyNumberFormat="1" applyFill="1" applyBorder="1"/>
    <xf numFmtId="165" fontId="0" fillId="0" borderId="0" xfId="0" applyNumberFormat="1" applyFill="1" applyBorder="1" applyAlignment="1">
      <alignment wrapText="1"/>
    </xf>
    <xf numFmtId="7" fontId="4" fillId="0" borderId="7" xfId="1" applyNumberFormat="1" applyFont="1" applyFill="1" applyBorder="1"/>
    <xf numFmtId="0" fontId="4" fillId="0" borderId="6" xfId="0" applyFont="1" applyFill="1" applyBorder="1"/>
    <xf numFmtId="165" fontId="4" fillId="0" borderId="6" xfId="0" applyNumberFormat="1" applyFont="1" applyBorder="1"/>
    <xf numFmtId="7" fontId="0" fillId="2" borderId="6" xfId="1" applyNumberFormat="1" applyFont="1" applyFill="1" applyBorder="1"/>
    <xf numFmtId="7" fontId="0" fillId="2" borderId="6" xfId="0" applyNumberFormat="1" applyFill="1" applyBorder="1"/>
    <xf numFmtId="166" fontId="4" fillId="0" borderId="6" xfId="0" applyNumberFormat="1" applyFont="1" applyFill="1" applyBorder="1"/>
    <xf numFmtId="165" fontId="4" fillId="0" borderId="6" xfId="0" applyNumberFormat="1" applyFont="1" applyFill="1" applyBorder="1"/>
    <xf numFmtId="0" fontId="29" fillId="12" borderId="0" xfId="0" applyFont="1" applyFill="1"/>
    <xf numFmtId="0" fontId="30" fillId="0" borderId="0" xfId="0" applyFont="1"/>
    <xf numFmtId="0" fontId="2" fillId="0" borderId="0" xfId="0" applyFont="1"/>
    <xf numFmtId="0" fontId="32" fillId="14" borderId="6" xfId="0" applyFont="1" applyFill="1" applyBorder="1" applyAlignment="1">
      <alignment wrapText="1"/>
    </xf>
    <xf numFmtId="0" fontId="33" fillId="14" borderId="6" xfId="0" applyFont="1" applyFill="1" applyBorder="1" applyAlignment="1">
      <alignment wrapText="1"/>
    </xf>
    <xf numFmtId="3" fontId="32" fillId="14" borderId="6" xfId="0" applyNumberFormat="1" applyFont="1" applyFill="1" applyBorder="1" applyAlignment="1">
      <alignment wrapText="1"/>
    </xf>
    <xf numFmtId="2" fontId="32" fillId="14" borderId="6" xfId="0" applyNumberFormat="1" applyFont="1" applyFill="1" applyBorder="1" applyAlignment="1">
      <alignment wrapText="1"/>
    </xf>
    <xf numFmtId="0" fontId="32" fillId="0" borderId="19" xfId="0" applyFont="1" applyBorder="1"/>
    <xf numFmtId="0" fontId="2" fillId="0" borderId="19" xfId="0" applyFont="1" applyBorder="1"/>
    <xf numFmtId="0" fontId="0" fillId="0" borderId="19" xfId="0" applyBorder="1"/>
    <xf numFmtId="0" fontId="31" fillId="13" borderId="4" xfId="0" applyFont="1" applyFill="1" applyBorder="1" applyAlignment="1">
      <alignment wrapText="1"/>
    </xf>
    <xf numFmtId="0" fontId="31" fillId="13" borderId="3" xfId="0" applyFont="1" applyFill="1" applyBorder="1" applyAlignment="1">
      <alignment wrapText="1"/>
    </xf>
    <xf numFmtId="0" fontId="31" fillId="13" borderId="5" xfId="0" applyFont="1" applyFill="1" applyBorder="1" applyAlignment="1">
      <alignment wrapText="1"/>
    </xf>
    <xf numFmtId="0" fontId="31" fillId="13" borderId="4" xfId="0" applyFont="1" applyFill="1" applyBorder="1"/>
    <xf numFmtId="0" fontId="35" fillId="0" borderId="0" xfId="0" applyFont="1" applyAlignment="1">
      <alignment horizontal="left"/>
    </xf>
    <xf numFmtId="0" fontId="35" fillId="0" borderId="0" xfId="0" applyFont="1"/>
    <xf numFmtId="2" fontId="0" fillId="0" borderId="6" xfId="0" applyNumberFormat="1" applyFill="1" applyBorder="1"/>
    <xf numFmtId="167" fontId="0" fillId="2" borderId="6" xfId="1" applyNumberFormat="1" applyFont="1" applyFill="1" applyBorder="1" applyAlignment="1">
      <alignment horizontal="left"/>
    </xf>
    <xf numFmtId="165" fontId="0" fillId="2" borderId="6" xfId="2" applyNumberFormat="1" applyFont="1" applyFill="1" applyBorder="1"/>
    <xf numFmtId="2" fontId="0" fillId="2" borderId="6" xfId="2" applyNumberFormat="1" applyFont="1" applyFill="1" applyBorder="1"/>
    <xf numFmtId="164" fontId="0" fillId="2" borderId="6" xfId="0" applyNumberFormat="1" applyFill="1" applyBorder="1"/>
    <xf numFmtId="37" fontId="0" fillId="2" borderId="6" xfId="0" applyNumberFormat="1" applyFill="1" applyBorder="1"/>
    <xf numFmtId="168" fontId="0" fillId="2" borderId="6" xfId="0" applyNumberFormat="1" applyFill="1" applyBorder="1"/>
    <xf numFmtId="44" fontId="0" fillId="2" borderId="6" xfId="2" applyFont="1" applyFill="1" applyBorder="1"/>
    <xf numFmtId="173" fontId="0" fillId="2" borderId="6" xfId="0" applyNumberFormat="1" applyFill="1" applyBorder="1"/>
    <xf numFmtId="0" fontId="12" fillId="0" borderId="0" xfId="4"/>
    <xf numFmtId="44" fontId="4" fillId="0" borderId="0" xfId="0" applyNumberFormat="1" applyFont="1" applyFill="1" applyBorder="1"/>
    <xf numFmtId="3" fontId="28" fillId="5" borderId="0" xfId="43" applyNumberFormat="1" applyFont="1" applyFill="1" applyAlignment="1">
      <alignment horizontal="left" vertical="top" shrinkToFit="1"/>
    </xf>
    <xf numFmtId="1" fontId="0" fillId="2" borderId="6" xfId="2" applyNumberFormat="1" applyFont="1" applyFill="1" applyBorder="1"/>
    <xf numFmtId="49" fontId="0" fillId="7" borderId="0" xfId="0" applyNumberFormat="1" applyFill="1"/>
    <xf numFmtId="0" fontId="16" fillId="7" borderId="0" xfId="0" applyFont="1" applyFill="1"/>
    <xf numFmtId="49" fontId="0" fillId="15" borderId="8" xfId="0" applyNumberFormat="1" applyFill="1" applyBorder="1"/>
    <xf numFmtId="0" fontId="17" fillId="7" borderId="0" xfId="0" applyFont="1" applyFill="1" applyAlignment="1" applyProtection="1">
      <alignment vertical="center"/>
      <protection locked="0"/>
    </xf>
    <xf numFmtId="49" fontId="0" fillId="15" borderId="11" xfId="0" applyNumberFormat="1" applyFill="1" applyBorder="1"/>
    <xf numFmtId="0" fontId="38" fillId="0" borderId="0" xfId="0" applyFont="1"/>
    <xf numFmtId="49" fontId="0" fillId="15" borderId="13" xfId="0" applyNumberFormat="1" applyFill="1" applyBorder="1"/>
    <xf numFmtId="0" fontId="18" fillId="7" borderId="0" xfId="0" applyFont="1" applyFill="1" applyAlignment="1" applyProtection="1">
      <alignment wrapText="1"/>
      <protection locked="0"/>
    </xf>
    <xf numFmtId="49" fontId="4" fillId="17" borderId="8" xfId="0" applyNumberFormat="1" applyFont="1" applyFill="1" applyBorder="1"/>
    <xf numFmtId="0" fontId="39" fillId="7" borderId="9" xfId="0" applyFont="1" applyFill="1" applyBorder="1" applyAlignment="1" applyProtection="1">
      <alignment horizontal="center" wrapText="1"/>
      <protection locked="0"/>
    </xf>
    <xf numFmtId="0" fontId="39" fillId="7" borderId="10" xfId="0" applyFont="1" applyFill="1" applyBorder="1" applyAlignment="1" applyProtection="1">
      <alignment horizontal="center" wrapText="1"/>
      <protection locked="0"/>
    </xf>
    <xf numFmtId="49" fontId="4" fillId="17" borderId="11" xfId="0" applyNumberFormat="1" applyFont="1" applyFill="1" applyBorder="1"/>
    <xf numFmtId="0" fontId="0" fillId="7" borderId="0" xfId="0" applyFill="1" applyAlignment="1" applyProtection="1">
      <alignment horizontal="left"/>
      <protection locked="0"/>
    </xf>
    <xf numFmtId="0" fontId="39" fillId="7" borderId="0" xfId="0" applyFont="1" applyFill="1" applyAlignment="1" applyProtection="1">
      <alignment horizontal="center" wrapText="1"/>
      <protection locked="0"/>
    </xf>
    <xf numFmtId="0" fontId="39" fillId="7" borderId="12" xfId="0" applyFont="1" applyFill="1" applyBorder="1" applyAlignment="1" applyProtection="1">
      <alignment horizontal="center" wrapText="1"/>
      <protection locked="0"/>
    </xf>
    <xf numFmtId="0" fontId="0" fillId="8" borderId="6" xfId="0" applyFill="1" applyBorder="1" applyAlignment="1" applyProtection="1">
      <alignment horizontal="left" wrapText="1"/>
      <protection locked="0"/>
    </xf>
    <xf numFmtId="0" fontId="0" fillId="14" borderId="0" xfId="0" applyFill="1" applyAlignment="1" applyProtection="1">
      <alignment horizontal="left" wrapText="1"/>
      <protection locked="0"/>
    </xf>
    <xf numFmtId="0" fontId="39" fillId="14" borderId="0" xfId="0" applyFont="1" applyFill="1" applyAlignment="1" applyProtection="1">
      <alignment horizontal="center" wrapText="1"/>
      <protection locked="0"/>
    </xf>
    <xf numFmtId="0" fontId="0" fillId="14" borderId="0" xfId="0" applyFill="1" applyAlignment="1" applyProtection="1">
      <alignment horizontal="left"/>
      <protection locked="0"/>
    </xf>
    <xf numFmtId="0" fontId="2" fillId="18" borderId="4" xfId="0" applyFont="1" applyFill="1" applyBorder="1" applyAlignment="1">
      <alignment horizontal="left" vertical="center" wrapText="1"/>
    </xf>
    <xf numFmtId="37" fontId="2" fillId="10" borderId="6" xfId="1" applyNumberFormat="1" applyFont="1" applyFill="1" applyBorder="1" applyAlignment="1" applyProtection="1">
      <alignment horizontal="right" vertical="center" wrapText="1"/>
      <protection locked="0"/>
    </xf>
    <xf numFmtId="0" fontId="0" fillId="18" borderId="4" xfId="0" applyFill="1" applyBorder="1" applyAlignment="1">
      <alignment horizontal="left" wrapText="1"/>
    </xf>
    <xf numFmtId="49" fontId="38" fillId="0" borderId="0" xfId="0" applyNumberFormat="1" applyFont="1"/>
    <xf numFmtId="0" fontId="0" fillId="14" borderId="0" xfId="0" applyFill="1"/>
    <xf numFmtId="0" fontId="38" fillId="0" borderId="0" xfId="0" applyFont="1" applyAlignment="1">
      <alignment horizontal="left"/>
    </xf>
    <xf numFmtId="49" fontId="0" fillId="17" borderId="11" xfId="0" applyNumberFormat="1" applyFill="1" applyBorder="1"/>
    <xf numFmtId="0" fontId="0" fillId="14" borderId="0" xfId="0" applyFill="1" applyAlignment="1" applyProtection="1">
      <alignment wrapText="1"/>
      <protection locked="0"/>
    </xf>
    <xf numFmtId="0" fontId="0" fillId="14" borderId="0" xfId="0" applyFill="1" applyAlignment="1">
      <alignment wrapText="1"/>
    </xf>
    <xf numFmtId="0" fontId="0" fillId="14" borderId="0" xfId="0" applyFill="1" applyAlignment="1">
      <alignment horizontal="right" wrapText="1"/>
    </xf>
    <xf numFmtId="0" fontId="0" fillId="18" borderId="6" xfId="0" applyFill="1" applyBorder="1" applyAlignment="1" applyProtection="1">
      <alignment horizontal="left"/>
      <protection locked="0"/>
    </xf>
    <xf numFmtId="0" fontId="0" fillId="18" borderId="6" xfId="0" applyFill="1" applyBorder="1" applyAlignment="1" applyProtection="1">
      <alignment horizontal="left" wrapText="1"/>
      <protection locked="0"/>
    </xf>
    <xf numFmtId="0" fontId="0" fillId="18" borderId="6" xfId="0" applyFill="1" applyBorder="1" applyProtection="1">
      <protection locked="0"/>
    </xf>
    <xf numFmtId="49" fontId="0" fillId="8" borderId="6" xfId="0" applyNumberFormat="1" applyFill="1" applyBorder="1" applyAlignment="1" applyProtection="1">
      <alignment wrapText="1"/>
      <protection locked="0"/>
    </xf>
    <xf numFmtId="49" fontId="0" fillId="8" borderId="4" xfId="0" applyNumberFormat="1" applyFill="1" applyBorder="1" applyAlignment="1" applyProtection="1">
      <alignment wrapText="1"/>
      <protection locked="0"/>
    </xf>
    <xf numFmtId="0" fontId="39" fillId="8" borderId="6" xfId="0" applyFont="1" applyFill="1" applyBorder="1" applyAlignment="1" applyProtection="1">
      <alignment horizontal="center" wrapText="1"/>
      <protection locked="0"/>
    </xf>
    <xf numFmtId="49" fontId="0" fillId="14" borderId="0" xfId="0" applyNumberFormat="1" applyFill="1" applyAlignment="1" applyProtection="1">
      <alignment wrapText="1"/>
      <protection locked="0"/>
    </xf>
    <xf numFmtId="49" fontId="0" fillId="17" borderId="20" xfId="0" applyNumberFormat="1" applyFill="1" applyBorder="1"/>
    <xf numFmtId="0" fontId="39" fillId="7" borderId="2" xfId="0" applyFont="1" applyFill="1" applyBorder="1" applyAlignment="1" applyProtection="1">
      <alignment horizontal="center" wrapText="1"/>
      <protection locked="0"/>
    </xf>
    <xf numFmtId="0" fontId="39" fillId="7" borderId="21" xfId="0" applyFont="1" applyFill="1" applyBorder="1" applyAlignment="1" applyProtection="1">
      <alignment horizontal="center" wrapText="1"/>
      <protection locked="0"/>
    </xf>
    <xf numFmtId="49" fontId="4" fillId="7" borderId="11" xfId="0" applyNumberFormat="1" applyFont="1" applyFill="1" applyBorder="1"/>
    <xf numFmtId="0" fontId="4" fillId="7" borderId="0" xfId="0" applyFont="1" applyFill="1"/>
    <xf numFmtId="0" fontId="0" fillId="7" borderId="0" xfId="0" applyFill="1" applyAlignment="1">
      <alignment horizontal="left" vertical="center" wrapText="1"/>
    </xf>
    <xf numFmtId="37" fontId="0" fillId="7" borderId="0" xfId="1" applyNumberFormat="1" applyFont="1" applyFill="1" applyAlignment="1" applyProtection="1">
      <alignment horizontal="right" vertical="center" wrapText="1"/>
      <protection locked="0"/>
    </xf>
    <xf numFmtId="0" fontId="0" fillId="7" borderId="12" xfId="0" applyFill="1" applyBorder="1" applyAlignment="1">
      <alignment horizontal="left" wrapText="1"/>
    </xf>
    <xf numFmtId="0" fontId="0" fillId="7" borderId="0" xfId="0" applyFill="1" applyAlignment="1">
      <alignment horizontal="left" wrapText="1"/>
    </xf>
    <xf numFmtId="0" fontId="2" fillId="7" borderId="0" xfId="0" applyFont="1" applyFill="1" applyAlignment="1">
      <alignment vertical="top"/>
    </xf>
    <xf numFmtId="49" fontId="4" fillId="7" borderId="20" xfId="0" applyNumberFormat="1" applyFont="1" applyFill="1" applyBorder="1"/>
    <xf numFmtId="0" fontId="2" fillId="7" borderId="2" xfId="0" applyFont="1" applyFill="1" applyBorder="1" applyAlignment="1">
      <alignment vertical="top"/>
    </xf>
    <xf numFmtId="0" fontId="0" fillId="7" borderId="2" xfId="0" applyFill="1" applyBorder="1"/>
    <xf numFmtId="0" fontId="0" fillId="7" borderId="2" xfId="0" applyFill="1" applyBorder="1" applyAlignment="1">
      <alignment horizontal="left" vertical="center" wrapText="1"/>
    </xf>
    <xf numFmtId="37" fontId="0" fillId="7" borderId="2" xfId="1" applyNumberFormat="1" applyFont="1" applyFill="1" applyBorder="1" applyAlignment="1" applyProtection="1">
      <alignment horizontal="right" vertical="center" wrapText="1"/>
      <protection locked="0"/>
    </xf>
    <xf numFmtId="0" fontId="0" fillId="7" borderId="2" xfId="0" applyFill="1" applyBorder="1" applyAlignment="1">
      <alignment horizontal="right" vertical="center"/>
    </xf>
    <xf numFmtId="0" fontId="0" fillId="7" borderId="21" xfId="0" applyFill="1" applyBorder="1" applyAlignment="1">
      <alignment horizontal="left" wrapText="1"/>
    </xf>
    <xf numFmtId="0" fontId="5" fillId="7" borderId="0" xfId="0" applyFont="1" applyFill="1" applyAlignment="1">
      <alignment horizontal="left"/>
    </xf>
    <xf numFmtId="0" fontId="4" fillId="7" borderId="0" xfId="0" applyFont="1" applyFill="1" applyAlignment="1">
      <alignment horizontal="right" vertical="center"/>
    </xf>
    <xf numFmtId="0" fontId="4" fillId="7" borderId="12" xfId="0" applyFont="1" applyFill="1" applyBorder="1"/>
    <xf numFmtId="49" fontId="0" fillId="7" borderId="11" xfId="0" applyNumberFormat="1" applyFill="1" applyBorder="1"/>
    <xf numFmtId="0" fontId="0" fillId="7" borderId="0" xfId="0" applyFill="1" applyAlignment="1">
      <alignment horizontal="left" vertical="top"/>
    </xf>
    <xf numFmtId="0" fontId="0" fillId="7" borderId="0" xfId="0" applyFill="1" applyAlignment="1">
      <alignment horizontal="right" vertical="center" wrapText="1"/>
    </xf>
    <xf numFmtId="0" fontId="5" fillId="18" borderId="16" xfId="0" applyFont="1" applyFill="1" applyBorder="1"/>
    <xf numFmtId="172" fontId="0" fillId="10" borderId="6" xfId="1" applyNumberFormat="1" applyFont="1" applyFill="1" applyBorder="1" applyAlignment="1" applyProtection="1">
      <alignment horizontal="right" vertical="center" wrapText="1"/>
      <protection locked="0"/>
    </xf>
    <xf numFmtId="0" fontId="0" fillId="18" borderId="17" xfId="0" applyFill="1" applyBorder="1"/>
    <xf numFmtId="44" fontId="0" fillId="10" borderId="6" xfId="1" applyNumberFormat="1" applyFont="1" applyFill="1" applyBorder="1" applyAlignment="1" applyProtection="1">
      <alignment horizontal="right" vertical="center" wrapText="1"/>
      <protection locked="0"/>
    </xf>
    <xf numFmtId="44" fontId="0" fillId="9" borderId="6" xfId="0" applyNumberFormat="1" applyFill="1" applyBorder="1" applyAlignment="1">
      <alignment horizontal="left" wrapText="1"/>
    </xf>
    <xf numFmtId="0" fontId="5" fillId="18" borderId="17" xfId="0" applyFont="1" applyFill="1" applyBorder="1"/>
    <xf numFmtId="49" fontId="0" fillId="10" borderId="6" xfId="1" applyNumberFormat="1" applyFont="1" applyFill="1" applyBorder="1" applyAlignment="1" applyProtection="1">
      <alignment horizontal="right" vertical="center" wrapText="1"/>
      <protection locked="0"/>
    </xf>
    <xf numFmtId="0" fontId="0" fillId="18" borderId="18" xfId="0" applyFill="1" applyBorder="1"/>
    <xf numFmtId="0" fontId="0" fillId="7" borderId="0" xfId="0" applyFill="1" applyAlignment="1">
      <alignment horizontal="left" vertical="center"/>
    </xf>
    <xf numFmtId="0" fontId="40" fillId="7" borderId="0" xfId="0" applyFont="1" applyFill="1"/>
    <xf numFmtId="0" fontId="2" fillId="7" borderId="0" xfId="0" applyFont="1" applyFill="1"/>
    <xf numFmtId="37" fontId="0" fillId="10" borderId="6" xfId="1" applyNumberFormat="1" applyFont="1" applyFill="1" applyBorder="1" applyAlignment="1" applyProtection="1">
      <alignment horizontal="right" vertical="center" wrapText="1"/>
      <protection locked="0"/>
    </xf>
    <xf numFmtId="0" fontId="4" fillId="14" borderId="0" xfId="0" applyFont="1" applyFill="1" applyAlignment="1">
      <alignment horizontal="right" vertical="center"/>
    </xf>
    <xf numFmtId="0" fontId="0" fillId="14" borderId="0" xfId="0" applyFill="1" applyAlignment="1">
      <alignment horizontal="left" wrapText="1"/>
    </xf>
    <xf numFmtId="0" fontId="5" fillId="18" borderId="26" xfId="0" applyFont="1" applyFill="1" applyBorder="1"/>
    <xf numFmtId="37" fontId="2" fillId="7" borderId="0" xfId="1" applyNumberFormat="1" applyFont="1" applyFill="1" applyAlignment="1" applyProtection="1">
      <alignment horizontal="right" vertical="center" wrapText="1"/>
      <protection locked="0"/>
    </xf>
    <xf numFmtId="0" fontId="5" fillId="18" borderId="18" xfId="0" applyFont="1" applyFill="1" applyBorder="1"/>
    <xf numFmtId="0" fontId="5" fillId="7" borderId="0" xfId="0" applyFont="1" applyFill="1"/>
    <xf numFmtId="0" fontId="0" fillId="14" borderId="0" xfId="0" applyFill="1" applyAlignment="1">
      <alignment horizontal="left" vertical="center"/>
    </xf>
    <xf numFmtId="37" fontId="2" fillId="14" borderId="0" xfId="1" applyNumberFormat="1" applyFont="1" applyFill="1" applyAlignment="1" applyProtection="1">
      <alignment horizontal="right" vertical="center" wrapText="1"/>
      <protection locked="0"/>
    </xf>
    <xf numFmtId="0" fontId="0" fillId="14" borderId="0" xfId="0" applyFill="1" applyAlignment="1">
      <alignment horizontal="left" vertical="center" wrapText="1"/>
    </xf>
    <xf numFmtId="44" fontId="0" fillId="16" borderId="6" xfId="0" applyNumberFormat="1" applyFill="1" applyBorder="1" applyAlignment="1">
      <alignment horizontal="left" wrapText="1"/>
    </xf>
    <xf numFmtId="49" fontId="0" fillId="7" borderId="20" xfId="0" applyNumberFormat="1" applyFill="1" applyBorder="1"/>
    <xf numFmtId="0" fontId="0" fillId="0" borderId="2" xfId="0" applyBorder="1"/>
    <xf numFmtId="0" fontId="0" fillId="7" borderId="2" xfId="0" applyFill="1" applyBorder="1" applyAlignment="1">
      <alignment horizontal="left" wrapText="1"/>
    </xf>
    <xf numFmtId="0" fontId="0" fillId="7" borderId="2" xfId="0" applyFill="1" applyBorder="1" applyAlignment="1">
      <alignment horizontal="right" vertical="center" wrapText="1"/>
    </xf>
    <xf numFmtId="0" fontId="0" fillId="18" borderId="4" xfId="0" applyFill="1" applyBorder="1"/>
    <xf numFmtId="0" fontId="0" fillId="18" borderId="5" xfId="0" applyFill="1" applyBorder="1"/>
    <xf numFmtId="0" fontId="0" fillId="8" borderId="6" xfId="0" applyFill="1" applyBorder="1" applyAlignment="1">
      <alignment horizontal="left" wrapText="1"/>
    </xf>
    <xf numFmtId="0" fontId="0" fillId="14" borderId="19" xfId="0" applyFill="1" applyBorder="1"/>
    <xf numFmtId="0" fontId="0" fillId="14" borderId="19" xfId="0" applyFill="1" applyBorder="1" applyAlignment="1">
      <alignment horizontal="left" wrapText="1"/>
    </xf>
    <xf numFmtId="0" fontId="0" fillId="7" borderId="2" xfId="0" applyFill="1" applyBorder="1" applyAlignment="1">
      <alignment horizontal="left" vertical="top"/>
    </xf>
    <xf numFmtId="0" fontId="5" fillId="7" borderId="2" xfId="0" applyFont="1" applyFill="1" applyBorder="1" applyAlignment="1">
      <alignment horizontal="left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vertical="top" wrapText="1"/>
    </xf>
    <xf numFmtId="0" fontId="0" fillId="7" borderId="0" xfId="0" applyFill="1" applyAlignment="1">
      <alignment horizontal="left" vertical="top" wrapText="1"/>
    </xf>
    <xf numFmtId="0" fontId="0" fillId="7" borderId="12" xfId="0" applyFill="1" applyBorder="1"/>
    <xf numFmtId="0" fontId="0" fillId="18" borderId="16" xfId="0" applyFill="1" applyBorder="1"/>
    <xf numFmtId="37" fontId="0" fillId="9" borderId="6" xfId="1" applyNumberFormat="1" applyFont="1" applyFill="1" applyBorder="1" applyAlignment="1" applyProtection="1">
      <alignment horizontal="right" vertical="center" wrapText="1"/>
      <protection locked="0"/>
    </xf>
    <xf numFmtId="0" fontId="3" fillId="7" borderId="0" xfId="0" applyFont="1" applyFill="1" applyAlignment="1">
      <alignment horizontal="left" vertical="center" wrapText="1"/>
    </xf>
    <xf numFmtId="44" fontId="0" fillId="14" borderId="0" xfId="0" applyNumberFormat="1" applyFill="1" applyAlignment="1">
      <alignment horizontal="left" wrapText="1"/>
    </xf>
    <xf numFmtId="2" fontId="0" fillId="14" borderId="0" xfId="0" applyNumberFormat="1" applyFill="1"/>
    <xf numFmtId="44" fontId="0" fillId="7" borderId="0" xfId="0" applyNumberFormat="1" applyFill="1" applyAlignment="1">
      <alignment horizontal="left" wrapText="1"/>
    </xf>
    <xf numFmtId="0" fontId="4" fillId="7" borderId="9" xfId="0" applyFont="1" applyFill="1" applyBorder="1"/>
    <xf numFmtId="172" fontId="2" fillId="10" borderId="6" xfId="1" applyNumberFormat="1" applyFont="1" applyFill="1" applyBorder="1" applyAlignment="1" applyProtection="1">
      <alignment horizontal="right" vertical="center" wrapText="1"/>
      <protection locked="0"/>
    </xf>
    <xf numFmtId="0" fontId="20" fillId="7" borderId="0" xfId="0" applyFont="1" applyFill="1" applyAlignment="1">
      <alignment horizontal="left" vertical="center"/>
    </xf>
    <xf numFmtId="0" fontId="0" fillId="7" borderId="12" xfId="0" applyFill="1" applyBorder="1" applyAlignment="1">
      <alignment horizontal="left" vertical="center" wrapText="1"/>
    </xf>
    <xf numFmtId="0" fontId="4" fillId="0" borderId="14" xfId="0" applyFont="1" applyBorder="1"/>
    <xf numFmtId="0" fontId="5" fillId="14" borderId="0" xfId="0" applyFont="1" applyFill="1" applyAlignment="1">
      <alignment vertical="center"/>
    </xf>
    <xf numFmtId="2" fontId="4" fillId="14" borderId="0" xfId="2" applyNumberFormat="1" applyFont="1" applyFill="1" applyAlignment="1">
      <alignment horizontal="right"/>
    </xf>
    <xf numFmtId="2" fontId="0" fillId="9" borderId="6" xfId="0" applyNumberFormat="1" applyFill="1" applyBorder="1" applyAlignment="1">
      <alignment horizontal="left" wrapText="1"/>
    </xf>
    <xf numFmtId="0" fontId="5" fillId="7" borderId="0" xfId="0" applyFont="1" applyFill="1" applyAlignment="1">
      <alignment horizontal="right" vertical="center" wrapText="1"/>
    </xf>
    <xf numFmtId="0" fontId="5" fillId="14" borderId="0" xfId="0" applyFont="1" applyFill="1" applyAlignment="1">
      <alignment horizontal="right"/>
    </xf>
    <xf numFmtId="44" fontId="0" fillId="14" borderId="0" xfId="2" applyFont="1" applyFill="1" applyAlignment="1">
      <alignment horizontal="left" wrapText="1"/>
    </xf>
    <xf numFmtId="37" fontId="0" fillId="14" borderId="0" xfId="1" applyNumberFormat="1" applyFont="1" applyFill="1" applyAlignment="1" applyProtection="1">
      <alignment horizontal="right" vertical="center"/>
      <protection locked="0"/>
    </xf>
    <xf numFmtId="2" fontId="0" fillId="7" borderId="0" xfId="2" applyNumberFormat="1" applyFont="1" applyFill="1" applyAlignment="1">
      <alignment horizontal="left" wrapText="1"/>
    </xf>
    <xf numFmtId="0" fontId="0" fillId="18" borderId="27" xfId="0" applyFill="1" applyBorder="1"/>
    <xf numFmtId="37" fontId="0" fillId="9" borderId="6" xfId="1" applyNumberFormat="1" applyFont="1" applyFill="1" applyBorder="1" applyAlignment="1" applyProtection="1">
      <alignment horizontal="right" vertical="center"/>
      <protection locked="0"/>
    </xf>
    <xf numFmtId="37" fontId="0" fillId="10" borderId="6" xfId="1" applyNumberFormat="1" applyFont="1" applyFill="1" applyBorder="1" applyAlignment="1" applyProtection="1">
      <alignment horizontal="right" vertical="center"/>
      <protection locked="0"/>
    </xf>
    <xf numFmtId="0" fontId="5" fillId="7" borderId="0" xfId="0" applyFont="1" applyFill="1" applyAlignment="1">
      <alignment horizontal="right"/>
    </xf>
    <xf numFmtId="2" fontId="0" fillId="14" borderId="0" xfId="2" applyNumberFormat="1" applyFont="1" applyFill="1" applyAlignment="1">
      <alignment horizontal="left" wrapText="1"/>
    </xf>
    <xf numFmtId="0" fontId="0" fillId="18" borderId="6" xfId="0" applyFill="1" applyBorder="1" applyAlignment="1">
      <alignment horizontal="left" vertical="center"/>
    </xf>
    <xf numFmtId="49" fontId="2" fillId="10" borderId="6" xfId="1" applyNumberFormat="1" applyFont="1" applyFill="1" applyBorder="1" applyAlignment="1" applyProtection="1">
      <alignment horizontal="right" vertical="center" wrapText="1"/>
      <protection locked="0"/>
    </xf>
    <xf numFmtId="49" fontId="2" fillId="18" borderId="4" xfId="0" applyNumberFormat="1" applyFont="1" applyFill="1" applyBorder="1" applyAlignment="1">
      <alignment horizontal="left" vertical="center" wrapText="1"/>
    </xf>
    <xf numFmtId="49" fontId="2" fillId="18" borderId="5" xfId="0" applyNumberFormat="1" applyFont="1" applyFill="1" applyBorder="1" applyAlignment="1">
      <alignment horizontal="left" vertical="center" wrapText="1"/>
    </xf>
    <xf numFmtId="0" fontId="2" fillId="14" borderId="0" xfId="0" applyFont="1" applyFill="1" applyAlignment="1">
      <alignment wrapText="1"/>
    </xf>
    <xf numFmtId="49" fontId="2" fillId="14" borderId="0" xfId="1" applyNumberFormat="1" applyFont="1" applyFill="1" applyAlignment="1" applyProtection="1">
      <alignment horizontal="right" vertical="center" wrapText="1"/>
      <protection locked="0"/>
    </xf>
    <xf numFmtId="49" fontId="2" fillId="14" borderId="0" xfId="0" applyNumberFormat="1" applyFont="1" applyFill="1" applyAlignment="1">
      <alignment horizontal="left" vertical="center" wrapText="1"/>
    </xf>
    <xf numFmtId="44" fontId="0" fillId="16" borderId="6" xfId="2" applyFont="1" applyFill="1" applyBorder="1" applyAlignment="1">
      <alignment horizontal="left" wrapText="1"/>
    </xf>
    <xf numFmtId="49" fontId="0" fillId="7" borderId="13" xfId="0" applyNumberFormat="1" applyFill="1" applyBorder="1"/>
    <xf numFmtId="0" fontId="0" fillId="0" borderId="14" xfId="0" applyBorder="1"/>
    <xf numFmtId="0" fontId="0" fillId="7" borderId="14" xfId="0" applyFill="1" applyBorder="1"/>
    <xf numFmtId="0" fontId="0" fillId="7" borderId="14" xfId="0" applyFill="1" applyBorder="1" applyAlignment="1">
      <alignment horizontal="left" vertical="center" wrapText="1"/>
    </xf>
    <xf numFmtId="37" fontId="0" fillId="7" borderId="14" xfId="1" applyNumberFormat="1" applyFont="1" applyFill="1" applyBorder="1" applyAlignment="1" applyProtection="1">
      <alignment horizontal="right" vertical="center" wrapText="1"/>
      <protection locked="0"/>
    </xf>
    <xf numFmtId="0" fontId="0" fillId="7" borderId="14" xfId="0" applyFill="1" applyBorder="1" applyAlignment="1">
      <alignment horizontal="right" vertical="center"/>
    </xf>
    <xf numFmtId="0" fontId="0" fillId="7" borderId="15" xfId="0" applyFill="1" applyBorder="1" applyAlignment="1">
      <alignment horizontal="left" wrapText="1"/>
    </xf>
    <xf numFmtId="49" fontId="0" fillId="0" borderId="0" xfId="0" applyNumberFormat="1"/>
    <xf numFmtId="44" fontId="0" fillId="0" borderId="0" xfId="0" applyNumberFormat="1" applyAlignment="1">
      <alignment horizontal="left" wrapText="1"/>
    </xf>
    <xf numFmtId="2" fontId="0" fillId="0" borderId="0" xfId="2" applyNumberFormat="1" applyFont="1" applyAlignment="1">
      <alignment horizontal="left" wrapText="1"/>
    </xf>
    <xf numFmtId="7" fontId="2" fillId="10" borderId="6" xfId="1" applyNumberFormat="1" applyFont="1" applyFill="1" applyBorder="1" applyAlignment="1" applyProtection="1">
      <alignment horizontal="right" vertical="center" wrapText="1"/>
      <protection locked="0"/>
    </xf>
    <xf numFmtId="165" fontId="0" fillId="8" borderId="6" xfId="0" applyNumberFormat="1" applyFill="1" applyBorder="1" applyAlignment="1">
      <alignment horizontal="right" wrapText="1"/>
    </xf>
    <xf numFmtId="174" fontId="0" fillId="9" borderId="6" xfId="2" applyNumberFormat="1" applyFont="1" applyFill="1" applyBorder="1" applyAlignment="1">
      <alignment horizontal="left" wrapText="1"/>
    </xf>
    <xf numFmtId="0" fontId="0" fillId="18" borderId="6" xfId="0" applyFill="1" applyBorder="1" applyAlignment="1">
      <alignment horizontal="left" vertical="center" wrapText="1"/>
    </xf>
    <xf numFmtId="0" fontId="2" fillId="18" borderId="22" xfId="0" applyFont="1" applyFill="1" applyBorder="1" applyAlignment="1">
      <alignment vertical="center" wrapText="1"/>
    </xf>
    <xf numFmtId="0" fontId="2" fillId="18" borderId="23" xfId="0" applyFont="1" applyFill="1" applyBorder="1" applyAlignment="1">
      <alignment vertical="center" wrapText="1"/>
    </xf>
    <xf numFmtId="0" fontId="2" fillId="18" borderId="24" xfId="0" applyFont="1" applyFill="1" applyBorder="1" applyAlignment="1">
      <alignment vertical="center" wrapText="1"/>
    </xf>
    <xf numFmtId="0" fontId="2" fillId="18" borderId="25" xfId="0" applyFont="1" applyFill="1" applyBorder="1" applyAlignment="1">
      <alignment vertical="center" wrapText="1"/>
    </xf>
    <xf numFmtId="49" fontId="2" fillId="18" borderId="4" xfId="0" applyNumberFormat="1" applyFont="1" applyFill="1" applyBorder="1" applyAlignment="1">
      <alignment horizontal="left" vertical="center" wrapText="1"/>
    </xf>
    <xf numFmtId="49" fontId="2" fillId="18" borderId="5" xfId="0" applyNumberFormat="1" applyFont="1" applyFill="1" applyBorder="1" applyAlignment="1">
      <alignment horizontal="left" vertical="center" wrapText="1"/>
    </xf>
    <xf numFmtId="0" fontId="0" fillId="14" borderId="0" xfId="0" applyFill="1" applyAlignment="1">
      <alignment horizontal="left" vertical="center" wrapText="1"/>
    </xf>
    <xf numFmtId="0" fontId="0" fillId="18" borderId="4" xfId="0" applyFill="1" applyBorder="1" applyAlignment="1">
      <alignment horizontal="left" vertical="center" wrapText="1"/>
    </xf>
    <xf numFmtId="0" fontId="0" fillId="18" borderId="5" xfId="0" applyFill="1" applyBorder="1" applyAlignment="1">
      <alignment horizontal="left" vertical="center" wrapText="1"/>
    </xf>
    <xf numFmtId="0" fontId="0" fillId="18" borderId="4" xfId="0" applyFill="1" applyBorder="1" applyAlignment="1">
      <alignment horizontal="left" vertical="center"/>
    </xf>
    <xf numFmtId="0" fontId="0" fillId="18" borderId="5" xfId="0" applyFill="1" applyBorder="1" applyAlignment="1">
      <alignment horizontal="left" vertical="center"/>
    </xf>
    <xf numFmtId="0" fontId="0" fillId="18" borderId="4" xfId="0" applyFill="1" applyBorder="1" applyAlignment="1">
      <alignment horizontal="left" wrapText="1"/>
    </xf>
    <xf numFmtId="0" fontId="0" fillId="18" borderId="5" xfId="0" applyFill="1" applyBorder="1" applyAlignment="1">
      <alignment horizontal="left" wrapText="1"/>
    </xf>
    <xf numFmtId="0" fontId="2" fillId="18" borderId="4" xfId="0" applyFont="1" applyFill="1" applyBorder="1" applyAlignment="1">
      <alignment horizontal="left" vertical="center" wrapText="1"/>
    </xf>
    <xf numFmtId="0" fontId="2" fillId="18" borderId="5" xfId="0" applyFont="1" applyFill="1" applyBorder="1" applyAlignment="1">
      <alignment horizontal="left" vertical="center" wrapText="1"/>
    </xf>
    <xf numFmtId="0" fontId="0" fillId="14" borderId="0" xfId="0" applyFill="1" applyAlignment="1">
      <alignment horizontal="left" wrapText="1"/>
    </xf>
    <xf numFmtId="37" fontId="2" fillId="7" borderId="0" xfId="1" applyNumberFormat="1" applyFont="1" applyFill="1" applyAlignment="1" applyProtection="1">
      <alignment horizontal="left" vertical="center" wrapText="1"/>
      <protection locked="0"/>
    </xf>
    <xf numFmtId="0" fontId="0" fillId="8" borderId="4" xfId="0" applyFill="1" applyBorder="1" applyAlignment="1" applyProtection="1">
      <alignment horizontal="left" wrapText="1"/>
      <protection locked="0"/>
    </xf>
    <xf numFmtId="0" fontId="0" fillId="8" borderId="5" xfId="0" applyFill="1" applyBorder="1" applyAlignment="1" applyProtection="1">
      <alignment horizontal="left" wrapText="1"/>
      <protection locked="0"/>
    </xf>
    <xf numFmtId="37" fontId="2" fillId="8" borderId="4" xfId="1" applyNumberFormat="1" applyFont="1" applyFill="1" applyBorder="1" applyAlignment="1" applyProtection="1">
      <alignment horizontal="right" vertical="center" wrapText="1"/>
      <protection locked="0"/>
    </xf>
    <xf numFmtId="37" fontId="2" fillId="8" borderId="5" xfId="1" applyNumberFormat="1" applyFont="1" applyFill="1" applyBorder="1" applyAlignment="1" applyProtection="1">
      <alignment horizontal="right" vertical="center" wrapText="1"/>
      <protection locked="0"/>
    </xf>
    <xf numFmtId="0" fontId="0" fillId="18" borderId="22" xfId="0" applyFill="1" applyBorder="1" applyAlignment="1">
      <alignment horizontal="left"/>
    </xf>
    <xf numFmtId="0" fontId="0" fillId="18" borderId="23" xfId="0" applyFill="1" applyBorder="1" applyAlignment="1">
      <alignment horizontal="left"/>
    </xf>
    <xf numFmtId="0" fontId="0" fillId="18" borderId="24" xfId="0" applyFill="1" applyBorder="1" applyAlignment="1">
      <alignment horizontal="left"/>
    </xf>
    <xf numFmtId="0" fontId="0" fillId="18" borderId="25" xfId="0" applyFill="1" applyBorder="1" applyAlignment="1">
      <alignment horizontal="left"/>
    </xf>
    <xf numFmtId="0" fontId="17" fillId="16" borderId="9" xfId="0" applyFont="1" applyFill="1" applyBorder="1" applyAlignment="1" applyProtection="1">
      <alignment horizontal="center" vertical="center"/>
      <protection locked="0"/>
    </xf>
    <xf numFmtId="0" fontId="17" fillId="16" borderId="10" xfId="0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17" fillId="16" borderId="12" xfId="0" applyFont="1" applyFill="1" applyBorder="1" applyAlignment="1" applyProtection="1">
      <alignment horizontal="center" vertical="center"/>
      <protection locked="0"/>
    </xf>
    <xf numFmtId="0" fontId="37" fillId="16" borderId="11" xfId="0" applyFont="1" applyFill="1" applyBorder="1" applyAlignment="1" applyProtection="1">
      <alignment horizontal="center" vertical="center"/>
      <protection locked="0"/>
    </xf>
    <xf numFmtId="0" fontId="37" fillId="16" borderId="0" xfId="0" applyFont="1" applyFill="1" applyAlignment="1" applyProtection="1">
      <alignment horizontal="center" vertical="center"/>
      <protection locked="0"/>
    </xf>
    <xf numFmtId="0" fontId="37" fillId="16" borderId="12" xfId="0" applyFont="1" applyFill="1" applyBorder="1" applyAlignment="1" applyProtection="1">
      <alignment horizontal="center" vertical="center"/>
      <protection locked="0"/>
    </xf>
    <xf numFmtId="0" fontId="39" fillId="16" borderId="14" xfId="0" applyFont="1" applyFill="1" applyBorder="1" applyAlignment="1" applyProtection="1">
      <alignment horizontal="center" wrapText="1"/>
      <protection locked="0"/>
    </xf>
    <xf numFmtId="0" fontId="39" fillId="16" borderId="15" xfId="0" applyFont="1" applyFill="1" applyBorder="1" applyAlignment="1" applyProtection="1">
      <alignment horizontal="center" wrapText="1"/>
      <protection locked="0"/>
    </xf>
    <xf numFmtId="0" fontId="0" fillId="18" borderId="6" xfId="0" applyFill="1" applyBorder="1" applyAlignment="1">
      <alignment horizontal="left"/>
    </xf>
    <xf numFmtId="0" fontId="0" fillId="18" borderId="4" xfId="0" applyFill="1" applyBorder="1" applyAlignment="1">
      <alignment vertical="center"/>
    </xf>
    <xf numFmtId="0" fontId="0" fillId="18" borderId="5" xfId="0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 wrapText="1"/>
    </xf>
    <xf numFmtId="0" fontId="24" fillId="0" borderId="0" xfId="43" applyFont="1" applyAlignment="1">
      <alignment horizontal="center" vertical="top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6" borderId="0" xfId="0" applyFont="1" applyFill="1" applyAlignment="1">
      <alignment horizontal="center"/>
    </xf>
    <xf numFmtId="0" fontId="7" fillId="0" borderId="0" xfId="3" applyFont="1" applyAlignment="1"/>
    <xf numFmtId="0" fontId="6" fillId="0" borderId="0" xfId="3" applyAlignment="1"/>
    <xf numFmtId="0" fontId="8" fillId="0" borderId="0" xfId="3" applyFont="1" applyAlignment="1"/>
    <xf numFmtId="0" fontId="31" fillId="13" borderId="4" xfId="0" applyFont="1" applyFill="1" applyBorder="1" applyAlignment="1">
      <alignment wrapText="1"/>
    </xf>
    <xf numFmtId="0" fontId="31" fillId="13" borderId="3" xfId="0" applyFont="1" applyFill="1" applyBorder="1" applyAlignment="1">
      <alignment wrapText="1"/>
    </xf>
    <xf numFmtId="0" fontId="31" fillId="13" borderId="5" xfId="0" applyFont="1" applyFill="1" applyBorder="1" applyAlignment="1">
      <alignment wrapText="1"/>
    </xf>
  </cellXfs>
  <cellStyles count="44">
    <cellStyle name="Comma" xfId="1" builtinId="3"/>
    <cellStyle name="Comma 2" xfId="7"/>
    <cellStyle name="Comma 2 2" xfId="8"/>
    <cellStyle name="Comma 2 2 2" xfId="9"/>
    <cellStyle name="Comma 2 3" xfId="10"/>
    <cellStyle name="Comma 2 4" xfId="11"/>
    <cellStyle name="Comma 3" xfId="12"/>
    <cellStyle name="Comma 3 2" xfId="13"/>
    <cellStyle name="Comma 3 2 2" xfId="14"/>
    <cellStyle name="Comma 3 3" xfId="15"/>
    <cellStyle name="Comma 4" xfId="16"/>
    <cellStyle name="Comma 4 2" xfId="17"/>
    <cellStyle name="Comma 5" xfId="18"/>
    <cellStyle name="Comma 6" xfId="19"/>
    <cellStyle name="Currency" xfId="2" builtinId="4"/>
    <cellStyle name="Hyperlink" xfId="4" builtinId="8"/>
    <cellStyle name="Hyperlink 2" xfId="6"/>
    <cellStyle name="Normal" xfId="0" builtinId="0"/>
    <cellStyle name="Normal 10" xfId="5"/>
    <cellStyle name="Normal 11" xfId="20"/>
    <cellStyle name="Normal 11 2" xfId="21"/>
    <cellStyle name="Normal 11 3" xfId="22"/>
    <cellStyle name="Normal 11 4" xfId="23"/>
    <cellStyle name="Normal 2" xfId="3"/>
    <cellStyle name="Normal 2 2" xfId="43"/>
    <cellStyle name="Normal 3" xfId="24"/>
    <cellStyle name="Normal 3 2" xfId="25"/>
    <cellStyle name="Normal 3 2 2" xfId="26"/>
    <cellStyle name="Normal 4" xfId="27"/>
    <cellStyle name="Normal 4 2" xfId="28"/>
    <cellStyle name="Normal 4 2 2" xfId="29"/>
    <cellStyle name="Normal 4 3" xfId="30"/>
    <cellStyle name="Normal 4 4" xfId="31"/>
    <cellStyle name="Normal 5" xfId="32"/>
    <cellStyle name="Normal 5 2" xfId="33"/>
    <cellStyle name="Normal 5 2 2" xfId="34"/>
    <cellStyle name="Normal 5 3" xfId="35"/>
    <cellStyle name="Normal 6" xfId="36"/>
    <cellStyle name="Normal 6 2" xfId="37"/>
    <cellStyle name="Normal 7" xfId="38"/>
    <cellStyle name="Normal 7 2" xfId="39"/>
    <cellStyle name="Normal 8" xfId="40"/>
    <cellStyle name="Normal 8 2" xfId="41"/>
    <cellStyle name="Normal 9" xfId="4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156209</xdr:colOff>
      <xdr:row>1</xdr:row>
      <xdr:rowOff>76200</xdr:rowOff>
    </xdr:from>
    <xdr:to>
      <xdr:col>0</xdr:col>
      <xdr:colOff>1295400</xdr:colOff>
      <xdr:row>4</xdr:row>
      <xdr:rowOff>17145</xdr:rowOff>
    </xdr:to>
    <xdr:sp macro="" textlink="">
      <xdr:nvSpPr>
        <xdr:cNvPr id="2" name="returntab">
          <a:extLst>
            <a:ext uri="{FF2B5EF4-FFF2-40B4-BE49-F238E27FC236}">
              <a16:creationId xmlns:a16="http://schemas.microsoft.com/office/drawing/2014/main" id="{F6F42C48-7B55-41D5-B5FC-0F3962ED693A}"/>
            </a:ext>
          </a:extLst>
        </xdr:cNvPr>
        <xdr:cNvSpPr/>
      </xdr:nvSpPr>
      <xdr:spPr>
        <a:xfrm>
          <a:off x="103821" y="309563"/>
          <a:ext cx="954" cy="51244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  <a:bevelB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to Intro</a:t>
          </a:r>
        </a:p>
      </xdr:txBody>
    </xdr:sp>
    <xdr:clientData/>
  </xdr:twoCellAnchor>
  <xdr:twoCellAnchor>
    <xdr:from>
      <xdr:col>1</xdr:col>
      <xdr:colOff>100855</xdr:colOff>
      <xdr:row>1</xdr:row>
      <xdr:rowOff>76200</xdr:rowOff>
    </xdr:from>
    <xdr:to>
      <xdr:col>2</xdr:col>
      <xdr:colOff>1651000</xdr:colOff>
      <xdr:row>4</xdr:row>
      <xdr:rowOff>112059</xdr:rowOff>
    </xdr:to>
    <xdr:sp macro="[1]!ToScenarios" textlink="">
      <xdr:nvSpPr>
        <xdr:cNvPr id="3" name="returntab">
          <a:extLst>
            <a:ext uri="{FF2B5EF4-FFF2-40B4-BE49-F238E27FC236}">
              <a16:creationId xmlns:a16="http://schemas.microsoft.com/office/drawing/2014/main" id="{5B11B26C-17E7-4CB9-91FF-32A00AB7613E}"/>
            </a:ext>
          </a:extLst>
        </xdr:cNvPr>
        <xdr:cNvSpPr/>
      </xdr:nvSpPr>
      <xdr:spPr>
        <a:xfrm>
          <a:off x="205630" y="309563"/>
          <a:ext cx="1802558" cy="607359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  <a:bevelB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to Loaded Scenarios</a:t>
          </a:r>
        </a:p>
      </xdr:txBody>
    </xdr:sp>
    <xdr:clientData/>
  </xdr:twoCellAnchor>
  <xdr:twoCellAnchor>
    <xdr:from>
      <xdr:col>1</xdr:col>
      <xdr:colOff>231465</xdr:colOff>
      <xdr:row>94</xdr:row>
      <xdr:rowOff>47622</xdr:rowOff>
    </xdr:from>
    <xdr:to>
      <xdr:col>3</xdr:col>
      <xdr:colOff>31750</xdr:colOff>
      <xdr:row>96</xdr:row>
      <xdr:rowOff>137583</xdr:rowOff>
    </xdr:to>
    <xdr:sp macro="[1]!CalculateCoBenefits" textlink="">
      <xdr:nvSpPr>
        <xdr:cNvPr id="4" name="Rounded Rectangle 4">
          <a:extLst>
            <a:ext uri="{FF2B5EF4-FFF2-40B4-BE49-F238E27FC236}">
              <a16:creationId xmlns:a16="http://schemas.microsoft.com/office/drawing/2014/main" id="{662737D0-C306-46B2-B332-1A2F90B485A3}"/>
            </a:ext>
          </a:extLst>
        </xdr:cNvPr>
        <xdr:cNvSpPr/>
      </xdr:nvSpPr>
      <xdr:spPr>
        <a:xfrm>
          <a:off x="336240" y="13863635"/>
          <a:ext cx="2324410" cy="451911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baseline="0">
              <a:solidFill>
                <a:sysClr val="windowText" lastClr="000000"/>
              </a:solidFill>
            </a:rPr>
            <a:t>Calculate Co-benefits</a:t>
          </a:r>
        </a:p>
      </xdr:txBody>
    </xdr:sp>
    <xdr:clientData/>
  </xdr:twoCellAnchor>
  <xdr:twoCellAnchor>
    <xdr:from>
      <xdr:col>2</xdr:col>
      <xdr:colOff>36029</xdr:colOff>
      <xdr:row>56</xdr:row>
      <xdr:rowOff>52917</xdr:rowOff>
    </xdr:from>
    <xdr:to>
      <xdr:col>3</xdr:col>
      <xdr:colOff>21166</xdr:colOff>
      <xdr:row>58</xdr:row>
      <xdr:rowOff>127001</xdr:rowOff>
    </xdr:to>
    <xdr:sp macro="[1]!CalculateBenefits" textlink="">
      <xdr:nvSpPr>
        <xdr:cNvPr id="5" name="Rounded Rectangle 5">
          <a:extLst>
            <a:ext uri="{FF2B5EF4-FFF2-40B4-BE49-F238E27FC236}">
              <a16:creationId xmlns:a16="http://schemas.microsoft.com/office/drawing/2014/main" id="{7A87CA89-D900-467A-92D4-FDFB889F0C33}"/>
            </a:ext>
          </a:extLst>
        </xdr:cNvPr>
        <xdr:cNvSpPr/>
      </xdr:nvSpPr>
      <xdr:spPr>
        <a:xfrm>
          <a:off x="393217" y="6353705"/>
          <a:ext cx="2256849" cy="436034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baseline="0">
              <a:solidFill>
                <a:sysClr val="windowText" lastClr="000000"/>
              </a:solidFill>
            </a:rPr>
            <a:t>Calculate Direct Benefits</a:t>
          </a:r>
        </a:p>
      </xdr:txBody>
    </xdr:sp>
    <xdr:clientData/>
  </xdr:twoCellAnchor>
  <xdr:twoCellAnchor>
    <xdr:from>
      <xdr:col>3</xdr:col>
      <xdr:colOff>1178919</xdr:colOff>
      <xdr:row>103</xdr:row>
      <xdr:rowOff>181316</xdr:rowOff>
    </xdr:from>
    <xdr:to>
      <xdr:col>7</xdr:col>
      <xdr:colOff>47623</xdr:colOff>
      <xdr:row>106</xdr:row>
      <xdr:rowOff>54316</xdr:rowOff>
    </xdr:to>
    <xdr:sp macro="[1]!TreeCoverPerc" textlink="">
      <xdr:nvSpPr>
        <xdr:cNvPr id="6" name="Rounded Rectangle 6">
          <a:extLst>
            <a:ext uri="{FF2B5EF4-FFF2-40B4-BE49-F238E27FC236}">
              <a16:creationId xmlns:a16="http://schemas.microsoft.com/office/drawing/2014/main" id="{B3E2D39B-4745-4A23-BA3B-25D5F2788EC8}"/>
            </a:ext>
          </a:extLst>
        </xdr:cNvPr>
        <xdr:cNvSpPr/>
      </xdr:nvSpPr>
      <xdr:spPr>
        <a:xfrm>
          <a:off x="3807819" y="15630866"/>
          <a:ext cx="3731217" cy="444500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baseline="0">
              <a:solidFill>
                <a:sysClr val="windowText" lastClr="000000"/>
              </a:solidFill>
            </a:rPr>
            <a:t>Import Default Values - Percent Tree Cover</a:t>
          </a:r>
        </a:p>
      </xdr:txBody>
    </xdr:sp>
    <xdr:clientData/>
  </xdr:twoCellAnchor>
  <xdr:twoCellAnchor>
    <xdr:from>
      <xdr:col>4</xdr:col>
      <xdr:colOff>19352</xdr:colOff>
      <xdr:row>75</xdr:row>
      <xdr:rowOff>123842</xdr:rowOff>
    </xdr:from>
    <xdr:to>
      <xdr:col>6</xdr:col>
      <xdr:colOff>10583</xdr:colOff>
      <xdr:row>78</xdr:row>
      <xdr:rowOff>52917</xdr:rowOff>
    </xdr:to>
    <xdr:sp macro="[1]!Upload_Income" textlink="">
      <xdr:nvSpPr>
        <xdr:cNvPr id="7" name="Rounded Rectangle 7">
          <a:extLst>
            <a:ext uri="{FF2B5EF4-FFF2-40B4-BE49-F238E27FC236}">
              <a16:creationId xmlns:a16="http://schemas.microsoft.com/office/drawing/2014/main" id="{AFC36D08-B3DD-4919-816E-68D14ABBF300}"/>
            </a:ext>
          </a:extLst>
        </xdr:cNvPr>
        <xdr:cNvSpPr/>
      </xdr:nvSpPr>
      <xdr:spPr>
        <a:xfrm>
          <a:off x="3934127" y="10496567"/>
          <a:ext cx="2582031" cy="472000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baseline="0">
              <a:solidFill>
                <a:sysClr val="windowText" lastClr="000000"/>
              </a:solidFill>
            </a:rPr>
            <a:t>Upload Income and Population Data by Year</a:t>
          </a:r>
        </a:p>
      </xdr:txBody>
    </xdr:sp>
    <xdr:clientData/>
  </xdr:twoCellAnchor>
  <xdr:twoCellAnchor>
    <xdr:from>
      <xdr:col>7</xdr:col>
      <xdr:colOff>24152</xdr:colOff>
      <xdr:row>75</xdr:row>
      <xdr:rowOff>137583</xdr:rowOff>
    </xdr:from>
    <xdr:to>
      <xdr:col>9</xdr:col>
      <xdr:colOff>1</xdr:colOff>
      <xdr:row>78</xdr:row>
      <xdr:rowOff>52244</xdr:rowOff>
    </xdr:to>
    <xdr:sp macro="[1]!Upload_WQData" textlink="">
      <xdr:nvSpPr>
        <xdr:cNvPr id="8" name="Rounded Rectangle 8">
          <a:extLst>
            <a:ext uri="{FF2B5EF4-FFF2-40B4-BE49-F238E27FC236}">
              <a16:creationId xmlns:a16="http://schemas.microsoft.com/office/drawing/2014/main" id="{E05E1DE1-8985-4241-BE96-3D10654AB059}"/>
            </a:ext>
          </a:extLst>
        </xdr:cNvPr>
        <xdr:cNvSpPr/>
      </xdr:nvSpPr>
      <xdr:spPr>
        <a:xfrm>
          <a:off x="7515565" y="10510308"/>
          <a:ext cx="4547849" cy="457586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baseline="0">
              <a:solidFill>
                <a:sysClr val="windowText" lastClr="000000"/>
              </a:solidFill>
            </a:rPr>
            <a:t>Upload BOD, DO, and FC Data </a:t>
          </a:r>
        </a:p>
      </xdr:txBody>
    </xdr:sp>
    <xdr:clientData/>
  </xdr:twoCellAnchor>
  <xdr:twoCellAnchor>
    <xdr:from>
      <xdr:col>4</xdr:col>
      <xdr:colOff>1819275</xdr:colOff>
      <xdr:row>17</xdr:row>
      <xdr:rowOff>10582</xdr:rowOff>
    </xdr:from>
    <xdr:to>
      <xdr:col>4</xdr:col>
      <xdr:colOff>3152775</xdr:colOff>
      <xdr:row>18</xdr:row>
      <xdr:rowOff>177799</xdr:rowOff>
    </xdr:to>
    <xdr:sp macro="[1]!SetupHUC12" textlink="">
      <xdr:nvSpPr>
        <xdr:cNvPr id="9" name="Rounded Rectangle 9">
          <a:extLst>
            <a:ext uri="{FF2B5EF4-FFF2-40B4-BE49-F238E27FC236}">
              <a16:creationId xmlns:a16="http://schemas.microsoft.com/office/drawing/2014/main" id="{CD7846B6-44DA-4B93-B749-D13B10613BA0}"/>
            </a:ext>
          </a:extLst>
        </xdr:cNvPr>
        <xdr:cNvSpPr/>
      </xdr:nvSpPr>
      <xdr:spPr>
        <a:xfrm>
          <a:off x="5238750" y="3206220"/>
          <a:ext cx="0" cy="357717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baseline="0">
              <a:solidFill>
                <a:sysClr val="windowText" lastClr="000000"/>
              </a:solidFill>
            </a:rPr>
            <a:t>Setup HUC12 Table</a:t>
          </a:r>
        </a:p>
      </xdr:txBody>
    </xdr:sp>
    <xdr:clientData/>
  </xdr:twoCellAnchor>
  <xdr:twoCellAnchor>
    <xdr:from>
      <xdr:col>2</xdr:col>
      <xdr:colOff>18523</xdr:colOff>
      <xdr:row>89</xdr:row>
      <xdr:rowOff>47626</xdr:rowOff>
    </xdr:from>
    <xdr:to>
      <xdr:col>3</xdr:col>
      <xdr:colOff>63501</xdr:colOff>
      <xdr:row>91</xdr:row>
      <xdr:rowOff>127001</xdr:rowOff>
    </xdr:to>
    <xdr:sp macro="[1]!SetupIndirBen" textlink="">
      <xdr:nvSpPr>
        <xdr:cNvPr id="10" name="Rounded Rectangle 10">
          <a:extLst>
            <a:ext uri="{FF2B5EF4-FFF2-40B4-BE49-F238E27FC236}">
              <a16:creationId xmlns:a16="http://schemas.microsoft.com/office/drawing/2014/main" id="{6DD7D5EB-725B-4F7D-8B79-2B44E53B4D14}"/>
            </a:ext>
          </a:extLst>
        </xdr:cNvPr>
        <xdr:cNvSpPr/>
      </xdr:nvSpPr>
      <xdr:spPr>
        <a:xfrm>
          <a:off x="375711" y="12958764"/>
          <a:ext cx="2316690" cy="441325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baseline="0">
              <a:solidFill>
                <a:sysClr val="windowText" lastClr="000000"/>
              </a:solidFill>
            </a:rPr>
            <a:t>Identify Relevant BMPs</a:t>
          </a:r>
        </a:p>
      </xdr:txBody>
    </xdr:sp>
    <xdr:clientData/>
  </xdr:twoCellAnchor>
  <xdr:twoCellAnchor>
    <xdr:from>
      <xdr:col>7</xdr:col>
      <xdr:colOff>8467</xdr:colOff>
      <xdr:row>17</xdr:row>
      <xdr:rowOff>74083</xdr:rowOff>
    </xdr:from>
    <xdr:to>
      <xdr:col>8</xdr:col>
      <xdr:colOff>42333</xdr:colOff>
      <xdr:row>19</xdr:row>
      <xdr:rowOff>95250</xdr:rowOff>
    </xdr:to>
    <xdr:sp macro="[1]!SetupHUC12" textlink="">
      <xdr:nvSpPr>
        <xdr:cNvPr id="11" name="Rounded Rectangle 14">
          <a:extLst>
            <a:ext uri="{FF2B5EF4-FFF2-40B4-BE49-F238E27FC236}">
              <a16:creationId xmlns:a16="http://schemas.microsoft.com/office/drawing/2014/main" id="{7807E954-D8B6-4AE9-9DB1-4759F6E67287}"/>
            </a:ext>
          </a:extLst>
        </xdr:cNvPr>
        <xdr:cNvSpPr/>
      </xdr:nvSpPr>
      <xdr:spPr>
        <a:xfrm>
          <a:off x="7499880" y="3269721"/>
          <a:ext cx="2191278" cy="392642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baseline="0">
              <a:solidFill>
                <a:sysClr val="windowText" lastClr="000000"/>
              </a:solidFill>
            </a:rPr>
            <a:t>Setup HUC12 Table</a:t>
          </a:r>
        </a:p>
      </xdr:txBody>
    </xdr:sp>
    <xdr:clientData/>
  </xdr:twoCellAnchor>
  <xdr:twoCellAnchor>
    <xdr:from>
      <xdr:col>2</xdr:col>
      <xdr:colOff>44450</xdr:colOff>
      <xdr:row>16</xdr:row>
      <xdr:rowOff>78316</xdr:rowOff>
    </xdr:from>
    <xdr:to>
      <xdr:col>3</xdr:col>
      <xdr:colOff>21166</xdr:colOff>
      <xdr:row>18</xdr:row>
      <xdr:rowOff>99483</xdr:rowOff>
    </xdr:to>
    <xdr:sp macro="[1]!SetupHRU" textlink="">
      <xdr:nvSpPr>
        <xdr:cNvPr id="12" name="Rounded Rectangle 15">
          <a:extLst>
            <a:ext uri="{FF2B5EF4-FFF2-40B4-BE49-F238E27FC236}">
              <a16:creationId xmlns:a16="http://schemas.microsoft.com/office/drawing/2014/main" id="{AD54620F-F1F9-4D01-A0DA-800178322689}"/>
            </a:ext>
          </a:extLst>
        </xdr:cNvPr>
        <xdr:cNvSpPr/>
      </xdr:nvSpPr>
      <xdr:spPr>
        <a:xfrm>
          <a:off x="401638" y="3092979"/>
          <a:ext cx="2248428" cy="392642"/>
        </a:xfrm>
        <a:prstGeom prst="roundRect">
          <a:avLst/>
        </a:prstGeom>
        <a:solidFill>
          <a:schemeClr val="bg1">
            <a:lumMod val="85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baseline="0">
              <a:solidFill>
                <a:sysClr val="windowText" lastClr="000000"/>
              </a:solidFill>
            </a:rPr>
            <a:t>Setup HRU Table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50</xdr:row>
      <xdr:rowOff>2527</xdr:rowOff>
    </xdr:from>
    <xdr:ext cx="6617334" cy="0"/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62CF109D-3DF4-4C1C-9DCD-BD9720AEEFD1}"/>
            </a:ext>
          </a:extLst>
        </xdr:cNvPr>
        <xdr:cNvSpPr/>
      </xdr:nvSpPr>
      <xdr:spPr>
        <a:xfrm>
          <a:off x="0" y="8532165"/>
          <a:ext cx="6617334" cy="0"/>
        </a:xfrm>
        <a:custGeom>
          <a:avLst/>
          <a:gdLst/>
          <a:ahLst/>
          <a:cxnLst/>
          <a:rect l="0" t="0" r="0" b="0"/>
          <a:pathLst>
            <a:path w="6617334">
              <a:moveTo>
                <a:pt x="0" y="0"/>
              </a:moveTo>
              <a:lnTo>
                <a:pt x="6617284" y="0"/>
              </a:lnTo>
            </a:path>
          </a:pathLst>
        </a:custGeom>
        <a:ln w="5054">
          <a:solidFill>
            <a:srgbClr val="231F20"/>
          </a:solidFill>
        </a:ln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cfonline.sharepoint.com/teams/WMOST/Shared%20Documents/General/WMOST_Versions/Sourcetree/ScenCompare/wmostscencompa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Controls"/>
      <sheetName val="Variable Definitions"/>
      <sheetName val="Loaded Scenarios"/>
      <sheetName val="Model Results"/>
      <sheetName val="Model Input Data"/>
      <sheetName val="Benefits"/>
      <sheetName val="GreenSpaceDatabase"/>
      <sheetName val="Benefits_Inputs"/>
      <sheetName val="WQI_ResultsRaw"/>
      <sheetName val="WQI_Results"/>
      <sheetName val="BOD_DO_FC"/>
      <sheetName val="WTP_Results"/>
      <sheetName val="500m"/>
      <sheetName val="250m"/>
      <sheetName val="Ecoregion_XWalk"/>
      <sheetName val="SI_Curves"/>
      <sheetName val="wmostscencompare"/>
    </sheetNames>
    <definedNames>
      <definedName name="CalculateBenefits"/>
      <definedName name="CalculateCoBenefits"/>
      <definedName name="SetupHRU"/>
      <definedName name="SetupHUC12"/>
      <definedName name="SetupIndirBen"/>
      <definedName name="ToScenarios"/>
      <definedName name="TreeCoverPerc"/>
      <definedName name="Upload_Income"/>
      <definedName name="Upload_WQData"/>
    </definedNames>
    <sheetDataSet>
      <sheetData sheetId="0"/>
      <sheetData sheetId="1"/>
      <sheetData sheetId="2"/>
      <sheetData sheetId="3">
        <row r="1">
          <cell r="C1" t="str">
            <v>Scenario Name (edit here):</v>
          </cell>
        </row>
        <row r="2">
          <cell r="C2" t="str">
            <v>TN_Scenario</v>
          </cell>
        </row>
        <row r="3">
          <cell r="C3" t="str">
            <v>TN_DRSet_Test</v>
          </cell>
        </row>
        <row r="4">
          <cell r="C4" t="str">
            <v>TSS_BaselineWTP</v>
          </cell>
        </row>
        <row r="5">
          <cell r="C5" t="str">
            <v>TSS_ScenWTP</v>
          </cell>
        </row>
        <row r="6">
          <cell r="C6" t="str">
            <v>TN_Baseline</v>
          </cell>
        </row>
        <row r="7">
          <cell r="C7" t="str">
            <v>TP_Baseline</v>
          </cell>
        </row>
        <row r="8">
          <cell r="C8" t="str">
            <v>TP_Scenario</v>
          </cell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epa.gov/energy/greenhouse-gases-equivalencies-calculator-calculations-and-references" TargetMode="Externa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epa.gov/sites/production/files/2019-06/documents/utilities_ria_final_cpp_repeal_and_ace_2019-06.pdf" TargetMode="External"/><Relationship Id="rId1" Type="http://schemas.openxmlformats.org/officeDocument/2006/relationships/hyperlink" Target="https://19january2017snapshot.epa.gov/sites/production/files/2016-12/documents/sc_co2_tsd_august_2016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186"/>
  <sheetViews>
    <sheetView tabSelected="1" topLeftCell="A8" zoomScale="80" zoomScaleNormal="80" workbookViewId="0">
      <selection activeCell="D148" sqref="D148"/>
    </sheetView>
  </sheetViews>
  <sheetFormatPr defaultColWidth="9.08984375" defaultRowHeight="14.5" x14ac:dyDescent="0.35"/>
  <cols>
    <col min="1" max="1" width="1.453125" style="19" customWidth="1"/>
    <col min="2" max="2" width="3.54296875" style="278" customWidth="1"/>
    <col min="3" max="3" width="31.81640625" style="19" customWidth="1"/>
    <col min="4" max="4" width="18" style="19" customWidth="1"/>
    <col min="5" max="5" width="18.54296875" style="19" customWidth="1"/>
    <col min="6" max="6" width="17.81640625" style="19" customWidth="1"/>
    <col min="7" max="7" width="13.81640625" style="19" customWidth="1"/>
    <col min="8" max="8" width="30.1796875" style="19" customWidth="1"/>
    <col min="9" max="9" width="33.81640625" style="19" customWidth="1"/>
    <col min="10" max="10" width="24.81640625" style="19" customWidth="1"/>
    <col min="11" max="11" width="18" style="45" customWidth="1"/>
    <col min="12" max="12" width="20.54296875" style="19" customWidth="1"/>
    <col min="13" max="13" width="2.81640625" style="19" customWidth="1"/>
    <col min="14" max="15" width="9.08984375" style="19"/>
    <col min="16" max="16" width="9.1796875" style="19" hidden="1" customWidth="1"/>
    <col min="17" max="16384" width="9.08984375" style="19"/>
  </cols>
  <sheetData>
    <row r="1" spans="1:16" ht="19" hidden="1" thickBot="1" x14ac:dyDescent="0.5">
      <c r="A1" s="40"/>
      <c r="B1" s="143"/>
      <c r="C1" s="40"/>
      <c r="D1" s="40"/>
      <c r="E1" s="144"/>
      <c r="F1" s="40"/>
      <c r="G1" s="40"/>
      <c r="H1" s="40"/>
      <c r="I1" s="40"/>
      <c r="J1" s="40"/>
      <c r="K1" s="44"/>
      <c r="L1" s="40"/>
      <c r="M1" s="40"/>
    </row>
    <row r="2" spans="1:16" ht="15" hidden="1" customHeight="1" x14ac:dyDescent="0.35">
      <c r="A2" s="40"/>
      <c r="B2" s="145"/>
      <c r="C2" s="310" t="s">
        <v>372</v>
      </c>
      <c r="D2" s="310"/>
      <c r="E2" s="310"/>
      <c r="F2" s="310"/>
      <c r="G2" s="310"/>
      <c r="H2" s="310"/>
      <c r="I2" s="310"/>
      <c r="J2" s="310"/>
      <c r="K2" s="310"/>
      <c r="L2" s="311"/>
      <c r="M2" s="146"/>
    </row>
    <row r="3" spans="1:16" ht="15" hidden="1" customHeight="1" x14ac:dyDescent="0.35">
      <c r="A3" s="40"/>
      <c r="B3" s="147"/>
      <c r="C3" s="312"/>
      <c r="D3" s="312"/>
      <c r="E3" s="312"/>
      <c r="F3" s="312"/>
      <c r="G3" s="312"/>
      <c r="H3" s="312"/>
      <c r="I3" s="312"/>
      <c r="J3" s="312"/>
      <c r="K3" s="312"/>
      <c r="L3" s="313"/>
      <c r="M3" s="146"/>
    </row>
    <row r="4" spans="1:16" ht="15" hidden="1" customHeight="1" x14ac:dyDescent="0.35">
      <c r="A4" s="40"/>
      <c r="B4" s="314" t="s">
        <v>373</v>
      </c>
      <c r="C4" s="315"/>
      <c r="D4" s="315"/>
      <c r="E4" s="315"/>
      <c r="F4" s="315"/>
      <c r="G4" s="315"/>
      <c r="H4" s="315"/>
      <c r="I4" s="315"/>
      <c r="J4" s="315"/>
      <c r="K4" s="315"/>
      <c r="L4" s="316"/>
      <c r="M4" s="146"/>
      <c r="P4" s="148" t="s">
        <v>374</v>
      </c>
    </row>
    <row r="5" spans="1:16" ht="14.25" hidden="1" customHeight="1" thickBot="1" x14ac:dyDescent="0.4">
      <c r="A5" s="40"/>
      <c r="B5" s="149"/>
      <c r="C5" s="317" t="s">
        <v>375</v>
      </c>
      <c r="D5" s="317"/>
      <c r="E5" s="317"/>
      <c r="F5" s="317"/>
      <c r="G5" s="317"/>
      <c r="H5" s="317"/>
      <c r="I5" s="317"/>
      <c r="J5" s="317"/>
      <c r="K5" s="317"/>
      <c r="L5" s="318"/>
      <c r="M5" s="150"/>
      <c r="P5" s="148" t="s">
        <v>376</v>
      </c>
    </row>
    <row r="6" spans="1:16" ht="14.25" hidden="1" customHeight="1" x14ac:dyDescent="0.35">
      <c r="A6" s="40"/>
      <c r="B6" s="151" t="s">
        <v>377</v>
      </c>
      <c r="C6" s="152"/>
      <c r="D6" s="152"/>
      <c r="E6" s="152"/>
      <c r="F6" s="152"/>
      <c r="G6" s="152"/>
      <c r="H6" s="152"/>
      <c r="I6" s="152"/>
      <c r="J6" s="152"/>
      <c r="K6" s="152"/>
      <c r="L6" s="153"/>
      <c r="M6" s="150"/>
      <c r="P6" s="148" t="s">
        <v>378</v>
      </c>
    </row>
    <row r="7" spans="1:16" ht="14.25" hidden="1" customHeight="1" x14ac:dyDescent="0.35">
      <c r="A7" s="40"/>
      <c r="B7" s="154"/>
      <c r="C7" s="155"/>
      <c r="D7" s="156"/>
      <c r="E7" s="156"/>
      <c r="F7" s="156"/>
      <c r="G7" s="156"/>
      <c r="H7" s="156"/>
      <c r="I7" s="156"/>
      <c r="J7" s="156"/>
      <c r="K7" s="156"/>
      <c r="L7" s="157"/>
      <c r="M7" s="150"/>
      <c r="P7" s="148" t="s">
        <v>379</v>
      </c>
    </row>
    <row r="8" spans="1:16" ht="14.25" customHeight="1" x14ac:dyDescent="0.35">
      <c r="A8" s="40"/>
      <c r="B8" s="154" t="s">
        <v>380</v>
      </c>
      <c r="C8" s="155" t="s">
        <v>381</v>
      </c>
      <c r="D8" s="156"/>
      <c r="E8" s="155" t="s">
        <v>382</v>
      </c>
      <c r="G8" s="156"/>
      <c r="H8" s="156"/>
      <c r="I8" s="156"/>
      <c r="J8" s="156"/>
      <c r="K8" s="156"/>
      <c r="L8" s="157"/>
      <c r="M8" s="150"/>
      <c r="P8" s="148"/>
    </row>
    <row r="9" spans="1:16" ht="14.25" customHeight="1" x14ac:dyDescent="0.35">
      <c r="A9" s="40"/>
      <c r="B9" s="154"/>
      <c r="C9" s="158">
        <v>2017</v>
      </c>
      <c r="D9" s="156"/>
      <c r="E9" s="158" t="s">
        <v>389</v>
      </c>
      <c r="F9" s="156"/>
      <c r="G9" s="156"/>
      <c r="H9" s="156"/>
      <c r="I9" s="156"/>
      <c r="J9" s="156"/>
      <c r="K9" s="156"/>
      <c r="L9" s="157"/>
      <c r="M9" s="150"/>
      <c r="P9" s="148"/>
    </row>
    <row r="10" spans="1:16" ht="14.25" customHeight="1" x14ac:dyDescent="0.35">
      <c r="A10" s="40"/>
      <c r="B10" s="154"/>
      <c r="C10" s="159"/>
      <c r="D10" s="160"/>
      <c r="E10" s="159"/>
      <c r="F10" s="160"/>
      <c r="G10" s="160"/>
      <c r="H10" s="156"/>
      <c r="I10" s="156"/>
      <c r="J10" s="156"/>
      <c r="K10" s="156"/>
      <c r="L10" s="157"/>
      <c r="M10" s="150"/>
      <c r="P10" s="148"/>
    </row>
    <row r="11" spans="1:16" ht="14.25" customHeight="1" x14ac:dyDescent="0.35">
      <c r="A11" s="40"/>
      <c r="B11" s="154"/>
      <c r="C11" s="161" t="s">
        <v>384</v>
      </c>
      <c r="D11" s="160"/>
      <c r="E11" s="159"/>
      <c r="F11" s="160"/>
      <c r="G11" s="160"/>
      <c r="H11" s="156"/>
      <c r="I11" s="156"/>
      <c r="J11" s="156"/>
      <c r="K11" s="156"/>
      <c r="L11" s="157"/>
      <c r="M11" s="150"/>
      <c r="P11" s="148"/>
    </row>
    <row r="12" spans="1:16" ht="14.25" customHeight="1" x14ac:dyDescent="0.35">
      <c r="A12" s="40"/>
      <c r="B12" s="154"/>
      <c r="C12" s="162" t="s">
        <v>385</v>
      </c>
      <c r="D12" s="282">
        <f>'Canopy Cover Benefit'!C7</f>
        <v>44.855918167279725</v>
      </c>
      <c r="E12" s="319" t="s">
        <v>386</v>
      </c>
      <c r="F12" s="319"/>
      <c r="G12" s="319"/>
      <c r="H12" s="319"/>
      <c r="I12" s="156"/>
      <c r="J12" s="156"/>
      <c r="K12" s="156"/>
      <c r="L12" s="157"/>
      <c r="M12" s="150"/>
    </row>
    <row r="13" spans="1:16" ht="14.25" customHeight="1" x14ac:dyDescent="0.35">
      <c r="A13" s="40"/>
      <c r="B13" s="154"/>
      <c r="C13" s="164" t="s">
        <v>387</v>
      </c>
      <c r="D13" s="282"/>
      <c r="E13" s="319" t="s">
        <v>386</v>
      </c>
      <c r="F13" s="319"/>
      <c r="G13" s="319"/>
      <c r="H13" s="319"/>
      <c r="I13" s="156"/>
      <c r="J13" s="156"/>
      <c r="K13" s="156"/>
      <c r="L13" s="157"/>
      <c r="M13" s="150"/>
      <c r="P13" s="165" t="s">
        <v>388</v>
      </c>
    </row>
    <row r="14" spans="1:16" ht="15.5" x14ac:dyDescent="0.35">
      <c r="A14" s="40"/>
      <c r="B14" s="154"/>
      <c r="C14" s="161"/>
      <c r="D14" s="160"/>
      <c r="E14" s="160"/>
      <c r="F14" s="160"/>
      <c r="G14" s="160"/>
      <c r="H14" s="156"/>
      <c r="I14" s="156"/>
      <c r="J14" s="156"/>
      <c r="K14" s="156"/>
      <c r="L14" s="157"/>
      <c r="M14" s="150"/>
      <c r="P14" s="165" t="s">
        <v>389</v>
      </c>
    </row>
    <row r="15" spans="1:16" ht="14.25" hidden="1" customHeight="1" x14ac:dyDescent="0.35">
      <c r="A15" s="40"/>
      <c r="B15" s="154" t="s">
        <v>390</v>
      </c>
      <c r="C15" s="155" t="s">
        <v>391</v>
      </c>
      <c r="D15" s="156"/>
      <c r="E15" s="156"/>
      <c r="F15" s="156"/>
      <c r="G15" s="156"/>
      <c r="H15" s="156"/>
      <c r="I15" s="156"/>
      <c r="J15" s="156"/>
      <c r="K15" s="156"/>
      <c r="L15" s="157"/>
      <c r="M15" s="150"/>
      <c r="P15" s="165" t="s">
        <v>392</v>
      </c>
    </row>
    <row r="16" spans="1:16" ht="15.5" hidden="1" x14ac:dyDescent="0.35">
      <c r="A16" s="40"/>
      <c r="B16" s="154"/>
      <c r="C16" s="155" t="s">
        <v>393</v>
      </c>
      <c r="D16" s="156"/>
      <c r="E16" s="156"/>
      <c r="F16" s="156"/>
      <c r="G16" s="155"/>
      <c r="H16" s="155" t="s">
        <v>394</v>
      </c>
      <c r="I16" s="166"/>
      <c r="J16" s="156"/>
      <c r="K16" s="156"/>
      <c r="L16" s="157"/>
      <c r="M16" s="150"/>
      <c r="P16" s="165" t="s">
        <v>383</v>
      </c>
    </row>
    <row r="17" spans="1:16" ht="14.25" hidden="1" customHeight="1" x14ac:dyDescent="0.35">
      <c r="A17" s="40"/>
      <c r="B17" s="154"/>
      <c r="C17" s="155"/>
      <c r="D17" s="156"/>
      <c r="E17" s="156"/>
      <c r="F17" s="156"/>
      <c r="G17" s="155"/>
      <c r="H17" s="158"/>
      <c r="I17" s="166"/>
      <c r="J17" s="156"/>
      <c r="K17" s="156"/>
      <c r="L17" s="157"/>
      <c r="M17" s="150"/>
    </row>
    <row r="18" spans="1:16" ht="15" hidden="1" customHeight="1" x14ac:dyDescent="0.35">
      <c r="A18" s="40"/>
      <c r="B18" s="154"/>
      <c r="C18" s="161"/>
      <c r="D18" s="156"/>
      <c r="E18" s="156"/>
      <c r="F18" s="156"/>
      <c r="G18" s="166"/>
      <c r="H18" s="161"/>
      <c r="I18" s="166"/>
      <c r="J18" s="156"/>
      <c r="K18" s="156"/>
      <c r="L18" s="157"/>
      <c r="M18" s="150"/>
      <c r="P18" s="167">
        <v>2016</v>
      </c>
    </row>
    <row r="19" spans="1:16" ht="14.25" hidden="1" customHeight="1" x14ac:dyDescent="0.35">
      <c r="A19" s="40"/>
      <c r="B19" s="168"/>
      <c r="C19" s="169"/>
      <c r="D19" s="170"/>
      <c r="F19" s="156"/>
      <c r="G19" s="166"/>
      <c r="H19" s="159"/>
      <c r="I19" s="166"/>
      <c r="J19" s="170"/>
      <c r="K19" s="156"/>
      <c r="L19" s="157"/>
      <c r="M19" s="150"/>
      <c r="P19" s="167">
        <v>2017</v>
      </c>
    </row>
    <row r="20" spans="1:16" ht="14.25" hidden="1" customHeight="1" x14ac:dyDescent="0.35">
      <c r="A20" s="40"/>
      <c r="B20" s="168"/>
      <c r="C20" s="161" t="s">
        <v>395</v>
      </c>
      <c r="D20" s="171"/>
      <c r="E20" s="166"/>
      <c r="F20" s="156"/>
      <c r="G20" s="156"/>
      <c r="H20" s="156"/>
      <c r="I20" s="156"/>
      <c r="J20" s="156"/>
      <c r="K20" s="156"/>
      <c r="L20" s="157"/>
      <c r="M20" s="150"/>
      <c r="P20" s="167">
        <v>2018</v>
      </c>
    </row>
    <row r="21" spans="1:16" ht="14.25" hidden="1" customHeight="1" x14ac:dyDescent="0.35">
      <c r="A21" s="40"/>
      <c r="B21" s="168"/>
      <c r="C21" s="172" t="s">
        <v>396</v>
      </c>
      <c r="D21" s="173" t="s">
        <v>397</v>
      </c>
      <c r="E21" s="173" t="s">
        <v>398</v>
      </c>
      <c r="F21" s="173" t="s">
        <v>399</v>
      </c>
      <c r="G21" s="166"/>
      <c r="H21" s="174" t="s">
        <v>400</v>
      </c>
      <c r="I21" s="174" t="s">
        <v>401</v>
      </c>
      <c r="J21" s="156"/>
      <c r="K21" s="156"/>
      <c r="L21" s="157"/>
      <c r="M21" s="150"/>
      <c r="P21" s="167">
        <v>2019</v>
      </c>
    </row>
    <row r="22" spans="1:16" ht="14.25" hidden="1" customHeight="1" x14ac:dyDescent="0.35">
      <c r="A22" s="40"/>
      <c r="B22" s="168"/>
      <c r="C22" s="175" t="s">
        <v>402</v>
      </c>
      <c r="D22" s="175"/>
      <c r="E22" s="158"/>
      <c r="F22" s="158"/>
      <c r="G22" s="166"/>
      <c r="H22" s="176"/>
      <c r="I22" s="175"/>
      <c r="J22" s="156"/>
      <c r="K22" s="156"/>
      <c r="L22" s="157"/>
      <c r="M22" s="150"/>
      <c r="P22" s="167">
        <v>2020</v>
      </c>
    </row>
    <row r="23" spans="1:16" ht="14.25" hidden="1" customHeight="1" x14ac:dyDescent="0.35">
      <c r="A23" s="40"/>
      <c r="B23" s="168"/>
      <c r="C23" s="175" t="s">
        <v>403</v>
      </c>
      <c r="D23" s="175"/>
      <c r="E23" s="158"/>
      <c r="F23" s="158"/>
      <c r="G23" s="166"/>
      <c r="H23" s="176"/>
      <c r="I23" s="175"/>
      <c r="J23" s="156"/>
      <c r="K23" s="156"/>
      <c r="L23" s="157"/>
      <c r="M23" s="150"/>
      <c r="P23" s="167">
        <v>2021</v>
      </c>
    </row>
    <row r="24" spans="1:16" ht="14.25" hidden="1" customHeight="1" x14ac:dyDescent="0.35">
      <c r="A24" s="40"/>
      <c r="B24" s="168"/>
      <c r="C24" s="175" t="s">
        <v>404</v>
      </c>
      <c r="D24" s="175"/>
      <c r="E24" s="177"/>
      <c r="F24" s="177"/>
      <c r="G24" s="166"/>
      <c r="H24" s="176"/>
      <c r="I24" s="175"/>
      <c r="J24" s="156"/>
      <c r="K24" s="156"/>
      <c r="L24" s="157"/>
      <c r="M24" s="150"/>
      <c r="P24" s="167">
        <v>2022</v>
      </c>
    </row>
    <row r="25" spans="1:16" ht="14.25" hidden="1" customHeight="1" x14ac:dyDescent="0.35">
      <c r="A25" s="40"/>
      <c r="B25" s="168"/>
      <c r="C25" s="176" t="s">
        <v>405</v>
      </c>
      <c r="D25" s="175"/>
      <c r="E25" s="177"/>
      <c r="F25" s="177"/>
      <c r="G25" s="166"/>
      <c r="H25" s="176"/>
      <c r="I25" s="175"/>
      <c r="J25" s="156"/>
      <c r="K25" s="156"/>
      <c r="L25" s="157"/>
      <c r="M25" s="150"/>
      <c r="P25" s="167">
        <v>2023</v>
      </c>
    </row>
    <row r="26" spans="1:16" ht="14.25" hidden="1" customHeight="1" x14ac:dyDescent="0.35">
      <c r="A26" s="40"/>
      <c r="B26" s="168"/>
      <c r="C26" s="176" t="s">
        <v>406</v>
      </c>
      <c r="D26" s="175"/>
      <c r="E26" s="177"/>
      <c r="F26" s="177"/>
      <c r="G26" s="166"/>
      <c r="H26" s="176"/>
      <c r="I26" s="175"/>
      <c r="J26" s="156"/>
      <c r="K26" s="156"/>
      <c r="L26" s="157"/>
      <c r="M26" s="150"/>
      <c r="P26" s="167">
        <v>2024</v>
      </c>
    </row>
    <row r="27" spans="1:16" ht="14.25" hidden="1" customHeight="1" x14ac:dyDescent="0.35">
      <c r="A27" s="40"/>
      <c r="B27" s="168"/>
      <c r="C27" s="176" t="s">
        <v>407</v>
      </c>
      <c r="D27" s="175"/>
      <c r="E27" s="177"/>
      <c r="F27" s="177"/>
      <c r="G27" s="166"/>
      <c r="H27" s="176"/>
      <c r="I27" s="175"/>
      <c r="J27" s="156"/>
      <c r="K27" s="156"/>
      <c r="L27" s="157"/>
      <c r="M27" s="150"/>
      <c r="P27" s="167">
        <v>2025</v>
      </c>
    </row>
    <row r="28" spans="1:16" ht="14.25" hidden="1" customHeight="1" x14ac:dyDescent="0.35">
      <c r="A28" s="40"/>
      <c r="B28" s="168"/>
      <c r="C28" s="176" t="s">
        <v>408</v>
      </c>
      <c r="D28" s="175"/>
      <c r="E28" s="177"/>
      <c r="F28" s="177"/>
      <c r="G28" s="166"/>
      <c r="H28" s="176"/>
      <c r="I28" s="175"/>
      <c r="J28" s="156"/>
      <c r="K28" s="156"/>
      <c r="L28" s="157"/>
      <c r="M28" s="150"/>
      <c r="P28" s="167">
        <v>2026</v>
      </c>
    </row>
    <row r="29" spans="1:16" ht="14.25" hidden="1" customHeight="1" x14ac:dyDescent="0.35">
      <c r="A29" s="40"/>
      <c r="B29" s="168"/>
      <c r="C29" s="176" t="s">
        <v>409</v>
      </c>
      <c r="D29" s="175"/>
      <c r="E29" s="177"/>
      <c r="F29" s="177"/>
      <c r="G29" s="166"/>
      <c r="H29" s="176"/>
      <c r="I29" s="175"/>
      <c r="J29" s="156"/>
      <c r="K29" s="156"/>
      <c r="L29" s="157"/>
      <c r="M29" s="150"/>
      <c r="P29" s="167">
        <v>2027</v>
      </c>
    </row>
    <row r="30" spans="1:16" ht="14.25" hidden="1" customHeight="1" x14ac:dyDescent="0.35">
      <c r="A30" s="40"/>
      <c r="B30" s="168"/>
      <c r="C30" s="176" t="s">
        <v>410</v>
      </c>
      <c r="D30" s="175"/>
      <c r="E30" s="177"/>
      <c r="F30" s="177"/>
      <c r="G30" s="166"/>
      <c r="H30" s="176"/>
      <c r="I30" s="175"/>
      <c r="J30" s="156"/>
      <c r="K30" s="156"/>
      <c r="L30" s="157"/>
      <c r="M30" s="150"/>
      <c r="P30" s="167">
        <v>2028</v>
      </c>
    </row>
    <row r="31" spans="1:16" ht="14.25" hidden="1" customHeight="1" x14ac:dyDescent="0.35">
      <c r="A31" s="40"/>
      <c r="B31" s="168"/>
      <c r="C31" s="176" t="s">
        <v>411</v>
      </c>
      <c r="D31" s="175"/>
      <c r="E31" s="177"/>
      <c r="F31" s="177"/>
      <c r="G31" s="166"/>
      <c r="H31" s="176"/>
      <c r="I31" s="175"/>
      <c r="J31" s="156"/>
      <c r="K31" s="156"/>
      <c r="L31" s="157"/>
      <c r="M31" s="150"/>
      <c r="P31" s="167">
        <v>2029</v>
      </c>
    </row>
    <row r="32" spans="1:16" ht="14.25" hidden="1" customHeight="1" x14ac:dyDescent="0.35">
      <c r="A32" s="40"/>
      <c r="B32" s="168"/>
      <c r="C32" s="176"/>
      <c r="D32" s="175"/>
      <c r="E32" s="177"/>
      <c r="F32" s="177"/>
      <c r="G32" s="166"/>
      <c r="H32" s="176"/>
      <c r="I32" s="175"/>
      <c r="J32" s="156"/>
      <c r="K32" s="156"/>
      <c r="L32" s="157"/>
      <c r="M32" s="150"/>
      <c r="P32" s="148">
        <v>2030</v>
      </c>
    </row>
    <row r="33" spans="1:16" ht="14.25" hidden="1" customHeight="1" x14ac:dyDescent="0.35">
      <c r="A33" s="40"/>
      <c r="B33" s="168"/>
      <c r="C33" s="176"/>
      <c r="D33" s="175"/>
      <c r="E33" s="177"/>
      <c r="F33" s="177"/>
      <c r="G33" s="166"/>
      <c r="H33" s="176"/>
      <c r="I33" s="175"/>
      <c r="J33" s="156"/>
      <c r="K33" s="156"/>
      <c r="L33" s="157"/>
      <c r="M33" s="150"/>
      <c r="P33" s="148"/>
    </row>
    <row r="34" spans="1:16" ht="14.25" hidden="1" customHeight="1" x14ac:dyDescent="0.35">
      <c r="A34" s="40"/>
      <c r="B34" s="168"/>
      <c r="C34" s="176"/>
      <c r="D34" s="175"/>
      <c r="E34" s="177"/>
      <c r="F34" s="177"/>
      <c r="G34" s="166"/>
      <c r="H34" s="176"/>
      <c r="I34" s="175"/>
      <c r="J34" s="156"/>
      <c r="K34" s="156"/>
      <c r="L34" s="157"/>
      <c r="M34" s="150"/>
      <c r="P34" s="148"/>
    </row>
    <row r="35" spans="1:16" ht="14.25" hidden="1" customHeight="1" x14ac:dyDescent="0.35">
      <c r="A35" s="40"/>
      <c r="B35" s="168"/>
      <c r="C35" s="176"/>
      <c r="D35" s="175"/>
      <c r="E35" s="177"/>
      <c r="F35" s="177"/>
      <c r="G35" s="166"/>
      <c r="H35" s="176"/>
      <c r="I35" s="175"/>
      <c r="J35" s="156"/>
      <c r="K35" s="156"/>
      <c r="L35" s="157"/>
      <c r="M35" s="150"/>
      <c r="P35" s="148"/>
    </row>
    <row r="36" spans="1:16" ht="14.25" hidden="1" customHeight="1" x14ac:dyDescent="0.35">
      <c r="A36" s="40"/>
      <c r="B36" s="168"/>
      <c r="C36" s="176"/>
      <c r="D36" s="175"/>
      <c r="E36" s="177"/>
      <c r="F36" s="177"/>
      <c r="G36" s="166"/>
      <c r="H36" s="176"/>
      <c r="I36" s="175"/>
      <c r="J36" s="156"/>
      <c r="K36" s="156"/>
      <c r="L36" s="157"/>
      <c r="M36" s="150"/>
      <c r="P36" s="148"/>
    </row>
    <row r="37" spans="1:16" ht="14.25" hidden="1" customHeight="1" x14ac:dyDescent="0.35">
      <c r="A37" s="40"/>
      <c r="B37" s="168"/>
      <c r="C37" s="176"/>
      <c r="D37" s="175"/>
      <c r="E37" s="177"/>
      <c r="F37" s="177"/>
      <c r="G37" s="166"/>
      <c r="H37" s="176"/>
      <c r="I37" s="175"/>
      <c r="J37" s="156"/>
      <c r="K37" s="156"/>
      <c r="L37" s="157"/>
      <c r="M37" s="150"/>
      <c r="P37" s="148"/>
    </row>
    <row r="38" spans="1:16" ht="15.5" hidden="1" x14ac:dyDescent="0.35">
      <c r="A38" s="40"/>
      <c r="B38" s="168"/>
      <c r="C38" s="176"/>
      <c r="D38" s="175"/>
      <c r="E38" s="177"/>
      <c r="F38" s="177"/>
      <c r="G38" s="166"/>
      <c r="H38" s="176"/>
      <c r="I38" s="175"/>
      <c r="J38" s="156"/>
      <c r="K38" s="156"/>
      <c r="L38" s="157"/>
      <c r="M38" s="150"/>
      <c r="P38" s="148" t="s">
        <v>53</v>
      </c>
    </row>
    <row r="39" spans="1:16" ht="15.5" hidden="1" x14ac:dyDescent="0.35">
      <c r="A39" s="40"/>
      <c r="B39" s="168"/>
      <c r="C39" s="176"/>
      <c r="D39" s="175"/>
      <c r="E39" s="177"/>
      <c r="F39" s="177"/>
      <c r="G39" s="166"/>
      <c r="H39" s="176"/>
      <c r="I39" s="175"/>
      <c r="J39" s="156"/>
      <c r="K39" s="156"/>
      <c r="L39" s="157"/>
      <c r="M39" s="150"/>
      <c r="P39" s="148" t="s">
        <v>54</v>
      </c>
    </row>
    <row r="40" spans="1:16" ht="15.5" hidden="1" x14ac:dyDescent="0.35">
      <c r="A40" s="40"/>
      <c r="B40" s="168"/>
      <c r="C40" s="176"/>
      <c r="D40" s="175"/>
      <c r="E40" s="177"/>
      <c r="F40" s="177"/>
      <c r="G40" s="166"/>
      <c r="H40" s="176"/>
      <c r="I40" s="175"/>
      <c r="J40" s="156"/>
      <c r="K40" s="156"/>
      <c r="L40" s="157"/>
      <c r="M40" s="150"/>
      <c r="P40" s="148" t="s">
        <v>56</v>
      </c>
    </row>
    <row r="41" spans="1:16" ht="15.5" hidden="1" x14ac:dyDescent="0.35">
      <c r="A41" s="40"/>
      <c r="B41" s="168"/>
      <c r="C41" s="176"/>
      <c r="D41" s="175"/>
      <c r="E41" s="177"/>
      <c r="F41" s="177"/>
      <c r="G41" s="166"/>
      <c r="H41" s="175"/>
      <c r="I41" s="175"/>
      <c r="J41" s="156"/>
      <c r="K41" s="156"/>
      <c r="L41" s="157"/>
      <c r="M41" s="150"/>
      <c r="P41" s="148" t="s">
        <v>60</v>
      </c>
    </row>
    <row r="42" spans="1:16" ht="15.5" hidden="1" x14ac:dyDescent="0.35">
      <c r="A42" s="40"/>
      <c r="B42" s="168"/>
      <c r="C42" s="176"/>
      <c r="D42" s="175"/>
      <c r="E42" s="177"/>
      <c r="F42" s="177"/>
      <c r="G42" s="166"/>
      <c r="H42" s="178"/>
      <c r="I42" s="178"/>
      <c r="J42" s="156"/>
      <c r="K42" s="156"/>
      <c r="L42" s="157"/>
      <c r="M42" s="150"/>
      <c r="P42" s="148" t="s">
        <v>58</v>
      </c>
    </row>
    <row r="43" spans="1:16" ht="15.5" hidden="1" x14ac:dyDescent="0.35">
      <c r="A43" s="40"/>
      <c r="B43" s="168"/>
      <c r="C43" s="176"/>
      <c r="D43" s="175"/>
      <c r="E43" s="177"/>
      <c r="F43" s="177"/>
      <c r="G43" s="166"/>
      <c r="H43" s="178"/>
      <c r="I43" s="178"/>
      <c r="J43" s="156"/>
      <c r="K43" s="156"/>
      <c r="L43" s="157"/>
      <c r="M43" s="150"/>
      <c r="P43" s="148" t="s">
        <v>63</v>
      </c>
    </row>
    <row r="44" spans="1:16" ht="15.5" hidden="1" x14ac:dyDescent="0.35">
      <c r="A44" s="40"/>
      <c r="B44" s="168"/>
      <c r="C44" s="176"/>
      <c r="D44" s="175"/>
      <c r="E44" s="177"/>
      <c r="F44" s="177"/>
      <c r="G44" s="166"/>
      <c r="H44" s="178"/>
      <c r="I44" s="178"/>
      <c r="J44" s="156"/>
      <c r="K44" s="156"/>
      <c r="L44" s="157"/>
      <c r="M44" s="150"/>
      <c r="P44" s="148" t="s">
        <v>15</v>
      </c>
    </row>
    <row r="45" spans="1:16" ht="15.5" hidden="1" x14ac:dyDescent="0.35">
      <c r="A45" s="40"/>
      <c r="B45" s="168"/>
      <c r="C45" s="176"/>
      <c r="D45" s="175"/>
      <c r="E45" s="177"/>
      <c r="F45" s="177"/>
      <c r="G45" s="166"/>
      <c r="H45" s="178"/>
      <c r="I45" s="178"/>
      <c r="J45" s="156"/>
      <c r="K45" s="156"/>
      <c r="L45" s="157"/>
      <c r="M45" s="150"/>
      <c r="P45" s="148" t="s">
        <v>64</v>
      </c>
    </row>
    <row r="46" spans="1:16" ht="15.5" hidden="1" x14ac:dyDescent="0.35">
      <c r="A46" s="40"/>
      <c r="B46" s="168"/>
      <c r="C46" s="176"/>
      <c r="D46" s="175"/>
      <c r="E46" s="177"/>
      <c r="F46" s="177"/>
      <c r="G46" s="166"/>
      <c r="H46" s="178"/>
      <c r="I46" s="178"/>
      <c r="J46" s="156"/>
      <c r="K46" s="156"/>
      <c r="L46" s="157"/>
      <c r="M46" s="150"/>
      <c r="P46" s="148" t="s">
        <v>66</v>
      </c>
    </row>
    <row r="47" spans="1:16" ht="15.5" hidden="1" x14ac:dyDescent="0.35">
      <c r="A47" s="40"/>
      <c r="B47" s="168"/>
      <c r="C47" s="176"/>
      <c r="D47" s="175"/>
      <c r="E47" s="177"/>
      <c r="F47" s="177"/>
      <c r="G47" s="166"/>
      <c r="H47" s="178"/>
      <c r="I47" s="178"/>
      <c r="J47" s="156"/>
      <c r="K47" s="156"/>
      <c r="L47" s="157"/>
      <c r="M47" s="150"/>
      <c r="P47" s="148" t="s">
        <v>67</v>
      </c>
    </row>
    <row r="48" spans="1:16" ht="15.5" hidden="1" x14ac:dyDescent="0.35">
      <c r="A48" s="40"/>
      <c r="B48" s="168"/>
      <c r="C48" s="176"/>
      <c r="D48" s="175"/>
      <c r="E48" s="177"/>
      <c r="F48" s="177"/>
      <c r="G48" s="166"/>
      <c r="H48" s="178"/>
      <c r="I48" s="178"/>
      <c r="J48" s="156"/>
      <c r="K48" s="156"/>
      <c r="L48" s="157"/>
      <c r="M48" s="150"/>
    </row>
    <row r="49" spans="1:16" ht="15.5" hidden="1" x14ac:dyDescent="0.35">
      <c r="A49" s="40"/>
      <c r="B49" s="168"/>
      <c r="C49" s="176"/>
      <c r="D49" s="175"/>
      <c r="E49" s="177"/>
      <c r="F49" s="177"/>
      <c r="G49" s="166"/>
      <c r="H49" s="178"/>
      <c r="I49" s="178"/>
      <c r="J49" s="156"/>
      <c r="K49" s="156"/>
      <c r="L49" s="157"/>
      <c r="M49" s="150"/>
    </row>
    <row r="50" spans="1:16" ht="15.5" hidden="1" x14ac:dyDescent="0.35">
      <c r="A50" s="40"/>
      <c r="B50" s="168"/>
      <c r="C50" s="176"/>
      <c r="D50" s="175"/>
      <c r="E50" s="177"/>
      <c r="F50" s="177"/>
      <c r="G50" s="166"/>
      <c r="H50" s="178"/>
      <c r="I50" s="178"/>
      <c r="J50" s="156"/>
      <c r="K50" s="156"/>
      <c r="L50" s="157"/>
      <c r="M50" s="150"/>
    </row>
    <row r="51" spans="1:16" ht="15.5" hidden="1" x14ac:dyDescent="0.35">
      <c r="A51" s="40"/>
      <c r="B51" s="168"/>
      <c r="C51" s="176"/>
      <c r="D51" s="175"/>
      <c r="E51" s="177"/>
      <c r="F51" s="177"/>
      <c r="G51" s="166"/>
      <c r="H51" s="178"/>
      <c r="I51" s="178"/>
      <c r="J51" s="156"/>
      <c r="K51" s="156"/>
      <c r="L51" s="157"/>
      <c r="M51" s="150"/>
      <c r="P51" s="148" t="s">
        <v>335</v>
      </c>
    </row>
    <row r="52" spans="1:16" ht="15.5" hidden="1" x14ac:dyDescent="0.35">
      <c r="A52" s="40"/>
      <c r="B52" s="168"/>
      <c r="C52" s="176"/>
      <c r="D52" s="175"/>
      <c r="E52" s="177"/>
      <c r="F52" s="177"/>
      <c r="G52" s="166"/>
      <c r="H52" s="178"/>
      <c r="I52" s="178"/>
      <c r="J52" s="156"/>
      <c r="K52" s="156"/>
      <c r="L52" s="157"/>
      <c r="M52" s="150"/>
      <c r="P52" s="148" t="s">
        <v>412</v>
      </c>
    </row>
    <row r="53" spans="1:16" ht="15.5" hidden="1" x14ac:dyDescent="0.35">
      <c r="A53" s="40"/>
      <c r="B53" s="168"/>
      <c r="C53" s="176"/>
      <c r="D53" s="175"/>
      <c r="E53" s="177"/>
      <c r="F53" s="177"/>
      <c r="G53" s="166"/>
      <c r="H53" s="178"/>
      <c r="I53" s="178"/>
      <c r="J53" s="156"/>
      <c r="K53" s="156"/>
      <c r="L53" s="157"/>
      <c r="M53" s="150"/>
      <c r="P53" s="148" t="s">
        <v>413</v>
      </c>
    </row>
    <row r="54" spans="1:16" ht="15.75" hidden="1" customHeight="1" x14ac:dyDescent="0.35">
      <c r="A54" s="40"/>
      <c r="B54" s="179"/>
      <c r="C54" s="180"/>
      <c r="D54" s="180"/>
      <c r="E54" s="180"/>
      <c r="F54" s="180"/>
      <c r="G54" s="180"/>
      <c r="H54" s="180"/>
      <c r="I54" s="180"/>
      <c r="J54" s="180"/>
      <c r="K54" s="180"/>
      <c r="L54" s="181"/>
      <c r="M54" s="150"/>
      <c r="P54" s="148" t="s">
        <v>414</v>
      </c>
    </row>
    <row r="55" spans="1:16" hidden="1" x14ac:dyDescent="0.35">
      <c r="A55" s="40"/>
      <c r="B55" s="182" t="s">
        <v>415</v>
      </c>
      <c r="C55" s="183" t="s">
        <v>416</v>
      </c>
      <c r="D55" s="40"/>
      <c r="E55" s="184"/>
      <c r="F55" s="185"/>
      <c r="G55" s="185"/>
      <c r="H55" s="185"/>
      <c r="I55" s="184"/>
      <c r="J55" s="184"/>
      <c r="K55" s="44"/>
      <c r="L55" s="186"/>
      <c r="M55" s="187"/>
    </row>
    <row r="56" spans="1:16" hidden="1" x14ac:dyDescent="0.35">
      <c r="A56" s="40"/>
      <c r="B56" s="182"/>
      <c r="C56" s="40" t="s">
        <v>417</v>
      </c>
      <c r="D56" s="40"/>
      <c r="E56" s="184"/>
      <c r="F56" s="185"/>
      <c r="G56" s="185"/>
      <c r="H56" s="185"/>
      <c r="I56" s="184"/>
      <c r="J56" s="184"/>
      <c r="K56" s="44"/>
      <c r="L56" s="186"/>
      <c r="M56" s="187"/>
    </row>
    <row r="57" spans="1:16" hidden="1" x14ac:dyDescent="0.35">
      <c r="A57" s="40"/>
      <c r="B57" s="182"/>
      <c r="C57" s="188"/>
      <c r="D57" s="40"/>
      <c r="E57" s="184"/>
      <c r="F57" s="185"/>
      <c r="G57" s="185"/>
      <c r="H57" s="185"/>
      <c r="I57" s="184"/>
      <c r="J57" s="184"/>
      <c r="K57" s="44"/>
      <c r="L57" s="186"/>
      <c r="M57" s="187"/>
    </row>
    <row r="58" spans="1:16" hidden="1" x14ac:dyDescent="0.35">
      <c r="A58" s="40"/>
      <c r="B58" s="182"/>
      <c r="C58" s="188"/>
      <c r="D58" s="40"/>
      <c r="E58" s="184"/>
      <c r="F58" s="185"/>
      <c r="G58" s="185"/>
      <c r="H58" s="185"/>
      <c r="I58" s="184"/>
      <c r="J58" s="184"/>
      <c r="K58" s="44"/>
      <c r="L58" s="186"/>
      <c r="M58" s="187"/>
    </row>
    <row r="59" spans="1:16" hidden="1" x14ac:dyDescent="0.35">
      <c r="A59" s="40"/>
      <c r="B59" s="182"/>
      <c r="C59" s="188"/>
      <c r="D59" s="40"/>
      <c r="E59" s="184"/>
      <c r="F59" s="185"/>
      <c r="G59" s="185"/>
      <c r="H59" s="185"/>
      <c r="I59" s="184"/>
      <c r="J59" s="184"/>
      <c r="K59" s="44"/>
      <c r="L59" s="186"/>
      <c r="M59" s="187"/>
    </row>
    <row r="60" spans="1:16" hidden="1" x14ac:dyDescent="0.35">
      <c r="A60" s="40"/>
      <c r="B60" s="189"/>
      <c r="C60" s="190" t="s">
        <v>418</v>
      </c>
      <c r="D60" s="191"/>
      <c r="E60" s="192"/>
      <c r="F60" s="193"/>
      <c r="G60" s="193"/>
      <c r="H60" s="193"/>
      <c r="I60" s="192"/>
      <c r="J60" s="192"/>
      <c r="K60" s="194"/>
      <c r="L60" s="195"/>
      <c r="M60" s="187"/>
    </row>
    <row r="61" spans="1:16" hidden="1" x14ac:dyDescent="0.35">
      <c r="A61" s="40"/>
      <c r="B61" s="182" t="s">
        <v>419</v>
      </c>
      <c r="C61" s="40" t="s">
        <v>420</v>
      </c>
      <c r="D61" s="41"/>
      <c r="E61" s="188" t="s">
        <v>421</v>
      </c>
      <c r="F61" s="187"/>
      <c r="G61" s="187"/>
      <c r="H61" s="187"/>
      <c r="J61" s="196"/>
      <c r="K61" s="197"/>
      <c r="L61" s="198"/>
      <c r="M61" s="187"/>
    </row>
    <row r="62" spans="1:16" hidden="1" x14ac:dyDescent="0.35">
      <c r="A62" s="40"/>
      <c r="B62" s="182"/>
      <c r="C62" s="40" t="s">
        <v>422</v>
      </c>
      <c r="D62" s="40"/>
      <c r="E62" s="188"/>
      <c r="F62" s="185"/>
      <c r="G62" s="185"/>
      <c r="H62" s="185"/>
      <c r="I62" s="184"/>
      <c r="J62" s="184"/>
      <c r="K62" s="44"/>
      <c r="L62" s="186"/>
      <c r="M62" s="187"/>
    </row>
    <row r="63" spans="1:16" hidden="1" x14ac:dyDescent="0.35">
      <c r="A63" s="40"/>
      <c r="B63" s="199"/>
      <c r="C63" s="200"/>
      <c r="D63" s="40"/>
      <c r="E63" s="188"/>
      <c r="F63" s="187"/>
      <c r="G63" s="187"/>
      <c r="H63" s="187"/>
      <c r="I63" s="187"/>
      <c r="J63" s="184"/>
      <c r="K63" s="201"/>
      <c r="L63" s="186"/>
      <c r="M63" s="187"/>
    </row>
    <row r="64" spans="1:16" ht="15" hidden="1" thickBot="1" x14ac:dyDescent="0.4">
      <c r="A64" s="40"/>
      <c r="B64" s="199"/>
      <c r="C64" s="200"/>
      <c r="D64" s="40"/>
      <c r="E64" s="196" t="s">
        <v>16</v>
      </c>
      <c r="F64" s="187"/>
      <c r="G64" s="187"/>
      <c r="H64" s="187"/>
      <c r="I64" s="187"/>
      <c r="J64" s="184"/>
      <c r="K64" s="201"/>
      <c r="L64" s="186"/>
      <c r="M64" s="187"/>
    </row>
    <row r="65" spans="1:13" hidden="1" x14ac:dyDescent="0.35">
      <c r="A65" s="40"/>
      <c r="B65" s="199"/>
      <c r="C65" s="202" t="s">
        <v>423</v>
      </c>
      <c r="D65" s="40"/>
      <c r="E65" s="320" t="s">
        <v>424</v>
      </c>
      <c r="F65" s="321"/>
      <c r="G65" s="203"/>
      <c r="H65" s="292" t="s">
        <v>425</v>
      </c>
      <c r="I65" s="293"/>
      <c r="J65" s="187"/>
      <c r="K65" s="197" t="s">
        <v>426</v>
      </c>
      <c r="L65" s="186"/>
      <c r="M65" s="187"/>
    </row>
    <row r="66" spans="1:13" hidden="1" x14ac:dyDescent="0.35">
      <c r="A66" s="40"/>
      <c r="B66" s="199"/>
      <c r="C66" s="204" t="s">
        <v>427</v>
      </c>
      <c r="D66" s="40"/>
      <c r="E66" s="306" t="s">
        <v>428</v>
      </c>
      <c r="F66" s="307"/>
      <c r="G66" s="205"/>
      <c r="H66" s="292" t="s">
        <v>429</v>
      </c>
      <c r="I66" s="293"/>
      <c r="J66" s="187"/>
      <c r="K66" s="206"/>
      <c r="L66" s="186"/>
      <c r="M66" s="187"/>
    </row>
    <row r="67" spans="1:13" hidden="1" x14ac:dyDescent="0.35">
      <c r="A67" s="40"/>
      <c r="B67" s="199"/>
      <c r="C67" s="207" t="s">
        <v>430</v>
      </c>
      <c r="D67" s="40"/>
      <c r="E67" s="308"/>
      <c r="F67" s="309"/>
      <c r="G67" s="208"/>
      <c r="H67" s="292" t="s">
        <v>431</v>
      </c>
      <c r="I67" s="293"/>
      <c r="J67" s="187"/>
      <c r="K67" s="44"/>
      <c r="L67" s="186"/>
      <c r="M67" s="187"/>
    </row>
    <row r="68" spans="1:13" ht="15.75" hidden="1" customHeight="1" thickBot="1" x14ac:dyDescent="0.4">
      <c r="A68" s="40"/>
      <c r="B68" s="199"/>
      <c r="C68" s="209" t="s">
        <v>432</v>
      </c>
      <c r="D68" s="40"/>
      <c r="E68" s="210"/>
      <c r="F68" s="185"/>
      <c r="G68" s="185"/>
      <c r="H68" s="185"/>
      <c r="I68" s="184"/>
      <c r="J68" s="187"/>
      <c r="K68" s="44"/>
      <c r="L68" s="186"/>
      <c r="M68" s="187"/>
    </row>
    <row r="69" spans="1:13" ht="30.75" hidden="1" customHeight="1" x14ac:dyDescent="0.35">
      <c r="A69" s="40"/>
      <c r="B69" s="199"/>
      <c r="D69" s="40"/>
      <c r="E69" s="210"/>
      <c r="F69" s="185"/>
      <c r="G69" s="185"/>
      <c r="H69" s="185"/>
      <c r="I69" s="184"/>
      <c r="J69" s="187"/>
      <c r="K69" s="44"/>
      <c r="L69" s="186"/>
      <c r="M69" s="187"/>
    </row>
    <row r="70" spans="1:13" ht="30.75" hidden="1" customHeight="1" thickBot="1" x14ac:dyDescent="0.4">
      <c r="A70" s="40"/>
      <c r="B70" s="199"/>
      <c r="C70" s="166"/>
      <c r="D70" s="40"/>
      <c r="E70" s="211" t="s">
        <v>17</v>
      </c>
      <c r="F70" s="187"/>
      <c r="G70" s="187"/>
      <c r="H70" s="187"/>
      <c r="I70" s="187"/>
      <c r="J70" s="187"/>
      <c r="K70" s="201"/>
      <c r="L70" s="186"/>
      <c r="M70" s="187"/>
    </row>
    <row r="71" spans="1:13" ht="29.25" hidden="1" customHeight="1" x14ac:dyDescent="0.35">
      <c r="A71" s="40"/>
      <c r="B71" s="199"/>
      <c r="C71" s="202" t="s">
        <v>433</v>
      </c>
      <c r="D71" s="40"/>
      <c r="E71" s="212" t="s">
        <v>434</v>
      </c>
      <c r="F71" s="187"/>
      <c r="G71" s="187"/>
      <c r="H71" s="187"/>
      <c r="I71" s="187"/>
      <c r="J71" s="187"/>
      <c r="K71" s="201"/>
      <c r="L71" s="186"/>
      <c r="M71" s="187"/>
    </row>
    <row r="72" spans="1:13" hidden="1" x14ac:dyDescent="0.35">
      <c r="A72" s="40"/>
      <c r="B72" s="199"/>
      <c r="C72" s="204" t="s">
        <v>435</v>
      </c>
      <c r="D72" s="40"/>
      <c r="E72" s="212" t="s">
        <v>436</v>
      </c>
      <c r="F72" s="187"/>
      <c r="G72" s="187"/>
      <c r="H72" s="187"/>
      <c r="I72" s="187"/>
      <c r="K72" s="197" t="s">
        <v>437</v>
      </c>
      <c r="L72" s="186"/>
      <c r="M72" s="187"/>
    </row>
    <row r="73" spans="1:13" hidden="1" x14ac:dyDescent="0.35">
      <c r="A73" s="40"/>
      <c r="B73" s="199"/>
      <c r="C73" s="207" t="s">
        <v>438</v>
      </c>
      <c r="D73" s="40"/>
      <c r="E73" s="294" t="s">
        <v>53</v>
      </c>
      <c r="F73" s="295"/>
      <c r="G73" s="213"/>
      <c r="H73" s="292" t="s">
        <v>439</v>
      </c>
      <c r="I73" s="293"/>
      <c r="J73" s="166"/>
      <c r="K73" s="214" t="s">
        <v>440</v>
      </c>
      <c r="L73" s="186"/>
      <c r="M73" s="187"/>
    </row>
    <row r="74" spans="1:13" hidden="1" x14ac:dyDescent="0.35">
      <c r="A74" s="40"/>
      <c r="B74" s="199"/>
      <c r="C74" s="204" t="s">
        <v>441</v>
      </c>
      <c r="D74" s="40"/>
      <c r="E74" s="294" t="s">
        <v>442</v>
      </c>
      <c r="F74" s="295"/>
      <c r="G74" s="213"/>
      <c r="H74" s="292" t="s">
        <v>443</v>
      </c>
      <c r="I74" s="293"/>
      <c r="J74" s="44"/>
      <c r="K74" s="206"/>
      <c r="L74" s="186"/>
      <c r="M74" s="187"/>
    </row>
    <row r="75" spans="1:13" hidden="1" x14ac:dyDescent="0.35">
      <c r="A75" s="40"/>
      <c r="B75" s="199"/>
      <c r="C75" s="207" t="s">
        <v>444</v>
      </c>
      <c r="D75" s="40"/>
      <c r="E75" s="294" t="s">
        <v>445</v>
      </c>
      <c r="F75" s="295"/>
      <c r="G75" s="213"/>
      <c r="H75" s="292" t="s">
        <v>446</v>
      </c>
      <c r="I75" s="293"/>
      <c r="J75" s="44"/>
      <c r="K75" s="215"/>
      <c r="L75" s="186"/>
      <c r="M75" s="187"/>
    </row>
    <row r="76" spans="1:13" hidden="1" x14ac:dyDescent="0.35">
      <c r="A76" s="40"/>
      <c r="B76" s="199"/>
      <c r="C76" s="216" t="s">
        <v>427</v>
      </c>
      <c r="D76" s="40"/>
      <c r="E76" s="210"/>
      <c r="F76" s="217"/>
      <c r="G76" s="217"/>
      <c r="H76" s="217"/>
      <c r="I76" s="184"/>
      <c r="J76" s="44"/>
      <c r="K76" s="215"/>
      <c r="L76" s="186"/>
      <c r="M76" s="187"/>
    </row>
    <row r="77" spans="1:13" hidden="1" x14ac:dyDescent="0.35">
      <c r="A77" s="40"/>
      <c r="B77" s="199"/>
      <c r="C77" s="207" t="s">
        <v>447</v>
      </c>
      <c r="D77" s="40"/>
      <c r="E77" s="210"/>
      <c r="F77" s="217"/>
      <c r="G77" s="217"/>
      <c r="H77" s="217"/>
      <c r="I77" s="166"/>
      <c r="J77" s="44"/>
      <c r="K77" s="215"/>
      <c r="L77" s="186"/>
      <c r="M77" s="187"/>
    </row>
    <row r="78" spans="1:13" hidden="1" x14ac:dyDescent="0.35">
      <c r="A78" s="40"/>
      <c r="B78" s="199"/>
      <c r="C78" s="204" t="s">
        <v>448</v>
      </c>
      <c r="D78" s="40"/>
      <c r="E78" s="210"/>
      <c r="F78" s="217"/>
      <c r="G78" s="217"/>
      <c r="H78" s="217"/>
      <c r="I78" s="166"/>
      <c r="J78" s="44"/>
      <c r="K78" s="215"/>
      <c r="L78" s="186"/>
      <c r="M78" s="187"/>
    </row>
    <row r="79" spans="1:13" hidden="1" x14ac:dyDescent="0.35">
      <c r="A79" s="40"/>
      <c r="B79" s="199"/>
      <c r="C79" s="207" t="s">
        <v>449</v>
      </c>
      <c r="D79" s="40"/>
      <c r="E79" s="210"/>
      <c r="F79" s="217"/>
      <c r="G79" s="217"/>
      <c r="H79" s="217"/>
      <c r="I79" s="184"/>
      <c r="J79" s="187"/>
      <c r="K79" s="44"/>
      <c r="L79" s="186"/>
      <c r="M79" s="187"/>
    </row>
    <row r="80" spans="1:13" hidden="1" x14ac:dyDescent="0.35">
      <c r="A80" s="40"/>
      <c r="B80" s="199"/>
      <c r="C80" s="204" t="s">
        <v>450</v>
      </c>
      <c r="D80" s="40"/>
      <c r="E80" s="212" t="s">
        <v>451</v>
      </c>
      <c r="F80" s="217"/>
      <c r="G80" s="217"/>
      <c r="H80" s="301" t="s">
        <v>452</v>
      </c>
      <c r="I80" s="301"/>
      <c r="J80" s="187"/>
      <c r="K80" s="44"/>
      <c r="L80" s="186"/>
      <c r="M80" s="187"/>
    </row>
    <row r="81" spans="1:13" hidden="1" x14ac:dyDescent="0.35">
      <c r="A81" s="40"/>
      <c r="B81" s="199"/>
      <c r="C81" s="207" t="s">
        <v>453</v>
      </c>
      <c r="D81" s="40"/>
      <c r="E81" s="302"/>
      <c r="F81" s="303"/>
      <c r="G81" s="217"/>
      <c r="H81" s="304" t="s">
        <v>378</v>
      </c>
      <c r="I81" s="305"/>
      <c r="J81" s="187"/>
      <c r="K81" s="44"/>
      <c r="L81" s="186"/>
      <c r="M81" s="187"/>
    </row>
    <row r="82" spans="1:13" ht="15" hidden="1" thickBot="1" x14ac:dyDescent="0.4">
      <c r="A82" s="40"/>
      <c r="B82" s="199"/>
      <c r="C82" s="218" t="s">
        <v>432</v>
      </c>
      <c r="D82" s="40"/>
      <c r="E82" s="210"/>
      <c r="F82" s="217"/>
      <c r="G82" s="217"/>
      <c r="H82" s="217"/>
      <c r="I82" s="184"/>
      <c r="J82" s="187"/>
      <c r="K82" s="44"/>
      <c r="L82" s="186"/>
      <c r="M82" s="187"/>
    </row>
    <row r="83" spans="1:13" hidden="1" x14ac:dyDescent="0.35">
      <c r="A83" s="40"/>
      <c r="B83" s="199"/>
      <c r="C83" s="219"/>
      <c r="D83" s="40"/>
      <c r="E83" s="220"/>
      <c r="F83" s="221"/>
      <c r="G83" s="221"/>
      <c r="H83" s="221"/>
      <c r="I83" s="222"/>
      <c r="J83" s="187"/>
      <c r="K83" s="197" t="s">
        <v>454</v>
      </c>
      <c r="L83" s="186"/>
      <c r="M83" s="187"/>
    </row>
    <row r="84" spans="1:13" hidden="1" x14ac:dyDescent="0.35">
      <c r="A84" s="40"/>
      <c r="B84" s="199"/>
      <c r="C84" s="219"/>
      <c r="D84" s="40"/>
      <c r="E84" s="220"/>
      <c r="F84" s="221"/>
      <c r="G84" s="221"/>
      <c r="H84" s="221"/>
      <c r="I84" s="222"/>
      <c r="J84" s="187"/>
      <c r="K84" s="223">
        <f>Alum_Savings+WTP_Value</f>
        <v>0</v>
      </c>
      <c r="L84" s="186"/>
      <c r="M84" s="187"/>
    </row>
    <row r="85" spans="1:13" hidden="1" x14ac:dyDescent="0.35">
      <c r="A85" s="40"/>
      <c r="B85" s="224"/>
      <c r="C85" s="225"/>
      <c r="D85" s="191"/>
      <c r="E85" s="226"/>
      <c r="F85" s="226"/>
      <c r="G85" s="226"/>
      <c r="H85" s="226"/>
      <c r="I85" s="226"/>
      <c r="J85" s="226"/>
      <c r="K85" s="227"/>
      <c r="L85" s="195"/>
      <c r="M85" s="187"/>
    </row>
    <row r="86" spans="1:13" hidden="1" x14ac:dyDescent="0.35">
      <c r="A86" s="40"/>
      <c r="B86" s="182" t="s">
        <v>455</v>
      </c>
      <c r="C86" s="183"/>
      <c r="D86" s="40"/>
      <c r="E86" s="187"/>
      <c r="F86" s="187"/>
      <c r="G86" s="187"/>
      <c r="H86" s="187"/>
      <c r="I86" s="187"/>
      <c r="J86" s="196"/>
      <c r="K86" s="201"/>
      <c r="L86" s="186"/>
      <c r="M86" s="187"/>
    </row>
    <row r="87" spans="1:13" hidden="1" x14ac:dyDescent="0.35">
      <c r="A87" s="40"/>
      <c r="B87" s="182"/>
      <c r="C87" s="166" t="s">
        <v>456</v>
      </c>
      <c r="D87" s="40"/>
      <c r="E87" s="187"/>
      <c r="F87" s="187"/>
      <c r="G87" s="166"/>
      <c r="H87" s="187"/>
      <c r="I87" s="166"/>
      <c r="J87" s="196"/>
      <c r="K87" s="201"/>
      <c r="L87" s="186"/>
      <c r="M87" s="187"/>
    </row>
    <row r="88" spans="1:13" hidden="1" x14ac:dyDescent="0.35">
      <c r="A88" s="40"/>
      <c r="B88" s="182"/>
      <c r="C88" s="228" t="s">
        <v>457</v>
      </c>
      <c r="D88" s="229"/>
      <c r="E88" s="230" t="s">
        <v>448</v>
      </c>
      <c r="F88" s="187"/>
      <c r="G88" s="166"/>
      <c r="H88" s="187"/>
      <c r="I88" s="187"/>
      <c r="J88" s="196"/>
      <c r="K88" s="201"/>
      <c r="L88" s="186"/>
      <c r="M88" s="187"/>
    </row>
    <row r="89" spans="1:13" hidden="1" x14ac:dyDescent="0.35">
      <c r="A89" s="40"/>
      <c r="B89" s="182"/>
      <c r="C89" s="166" t="s">
        <v>458</v>
      </c>
      <c r="D89" s="231"/>
      <c r="E89" s="232"/>
      <c r="F89" s="187"/>
      <c r="G89" s="187"/>
      <c r="H89" s="187"/>
      <c r="I89" s="187"/>
      <c r="J89" s="196"/>
      <c r="K89" s="201"/>
      <c r="L89" s="186"/>
      <c r="M89" s="187"/>
    </row>
    <row r="90" spans="1:13" hidden="1" x14ac:dyDescent="0.35">
      <c r="A90" s="40"/>
      <c r="B90" s="182"/>
      <c r="C90" s="166"/>
      <c r="D90" s="166"/>
      <c r="E90" s="215"/>
      <c r="F90" s="187"/>
      <c r="G90" s="40"/>
      <c r="H90" s="187"/>
      <c r="I90" s="40"/>
      <c r="J90" s="196"/>
      <c r="K90" s="201"/>
      <c r="L90" s="186"/>
      <c r="M90" s="187"/>
    </row>
    <row r="91" spans="1:13" hidden="1" x14ac:dyDescent="0.35">
      <c r="A91" s="40"/>
      <c r="B91" s="182"/>
      <c r="C91" s="183"/>
      <c r="D91" s="40"/>
      <c r="E91" s="187"/>
      <c r="F91" s="187"/>
      <c r="G91" s="187"/>
      <c r="H91" s="187"/>
      <c r="I91" s="187"/>
      <c r="J91" s="196"/>
      <c r="K91" s="201"/>
      <c r="L91" s="186"/>
      <c r="M91" s="187"/>
    </row>
    <row r="92" spans="1:13" hidden="1" x14ac:dyDescent="0.35">
      <c r="A92" s="40"/>
      <c r="B92" s="182"/>
      <c r="C92" s="40"/>
      <c r="D92" s="40"/>
      <c r="E92" s="187"/>
      <c r="F92" s="187"/>
      <c r="G92" s="187"/>
      <c r="H92" s="200"/>
      <c r="I92" s="187"/>
      <c r="J92" s="196"/>
      <c r="K92" s="201"/>
      <c r="L92" s="186"/>
      <c r="M92" s="187"/>
    </row>
    <row r="93" spans="1:13" hidden="1" x14ac:dyDescent="0.35">
      <c r="A93" s="40"/>
      <c r="B93" s="182"/>
      <c r="C93" s="200" t="s">
        <v>459</v>
      </c>
      <c r="D93" s="40"/>
      <c r="E93" s="187"/>
      <c r="F93" s="187"/>
      <c r="G93" s="187"/>
      <c r="H93" s="187"/>
      <c r="I93" s="187"/>
      <c r="J93" s="196"/>
      <c r="K93" s="201"/>
      <c r="L93" s="186"/>
      <c r="M93" s="187"/>
    </row>
    <row r="94" spans="1:13" hidden="1" x14ac:dyDescent="0.35">
      <c r="A94" s="40"/>
      <c r="B94" s="182"/>
      <c r="C94" s="40" t="s">
        <v>460</v>
      </c>
      <c r="D94" s="40"/>
      <c r="E94" s="187"/>
      <c r="F94" s="187"/>
      <c r="G94" s="187"/>
      <c r="H94" s="187"/>
      <c r="I94" s="187"/>
      <c r="J94" s="196"/>
      <c r="K94" s="201"/>
      <c r="L94" s="186"/>
      <c r="M94" s="187"/>
    </row>
    <row r="95" spans="1:13" hidden="1" x14ac:dyDescent="0.35">
      <c r="A95" s="40"/>
      <c r="B95" s="182"/>
      <c r="C95" s="40"/>
      <c r="D95" s="40"/>
      <c r="E95" s="187"/>
      <c r="F95" s="187"/>
      <c r="G95" s="187"/>
      <c r="H95" s="187"/>
      <c r="I95" s="187"/>
      <c r="J95" s="196"/>
      <c r="K95" s="201"/>
      <c r="L95" s="186"/>
      <c r="M95" s="187"/>
    </row>
    <row r="96" spans="1:13" hidden="1" x14ac:dyDescent="0.35">
      <c r="A96" s="40"/>
      <c r="B96" s="182"/>
      <c r="C96" s="40"/>
      <c r="D96" s="40"/>
      <c r="E96" s="187"/>
      <c r="F96" s="187"/>
      <c r="G96" s="187"/>
      <c r="H96" s="187"/>
      <c r="I96" s="187"/>
      <c r="J96" s="196"/>
      <c r="K96" s="201"/>
      <c r="L96" s="186"/>
      <c r="M96" s="187"/>
    </row>
    <row r="97" spans="1:13" hidden="1" x14ac:dyDescent="0.35">
      <c r="A97" s="40"/>
      <c r="B97" s="189"/>
      <c r="C97" s="233"/>
      <c r="D97" s="191"/>
      <c r="E97" s="226"/>
      <c r="F97" s="226"/>
      <c r="G97" s="226"/>
      <c r="H97" s="226"/>
      <c r="I97" s="226"/>
      <c r="J97" s="234"/>
      <c r="K97" s="227"/>
      <c r="L97" s="195"/>
      <c r="M97" s="187"/>
    </row>
    <row r="98" spans="1:13" hidden="1" x14ac:dyDescent="0.35">
      <c r="A98" s="40"/>
      <c r="B98" s="182" t="s">
        <v>461</v>
      </c>
      <c r="C98" s="235" t="s">
        <v>462</v>
      </c>
      <c r="D98" s="41"/>
      <c r="E98" s="188" t="s">
        <v>463</v>
      </c>
      <c r="F98" s="187"/>
      <c r="G98" s="187"/>
      <c r="H98" s="187"/>
      <c r="I98" s="200"/>
      <c r="J98" s="196"/>
      <c r="K98" s="197"/>
      <c r="L98" s="198"/>
      <c r="M98" s="187"/>
    </row>
    <row r="99" spans="1:13" hidden="1" x14ac:dyDescent="0.35">
      <c r="A99" s="40"/>
      <c r="B99" s="182"/>
      <c r="C99" s="235" t="s">
        <v>464</v>
      </c>
      <c r="D99" s="41"/>
      <c r="E99" s="236"/>
      <c r="F99" s="187"/>
      <c r="G99" s="187"/>
      <c r="H99" s="187"/>
      <c r="I99" s="237"/>
      <c r="J99" s="196"/>
      <c r="K99" s="197"/>
      <c r="L99" s="198"/>
      <c r="M99" s="187"/>
    </row>
    <row r="100" spans="1:13" ht="15" hidden="1" thickBot="1" x14ac:dyDescent="0.4">
      <c r="A100" s="40"/>
      <c r="B100" s="199"/>
      <c r="C100" s="40"/>
      <c r="D100" s="40"/>
      <c r="E100" s="211" t="s">
        <v>465</v>
      </c>
      <c r="F100" s="40"/>
      <c r="G100" s="40"/>
      <c r="H100" s="40"/>
      <c r="I100" s="187"/>
      <c r="J100" s="187"/>
      <c r="K100" s="44"/>
      <c r="L100" s="238"/>
      <c r="M100" s="187"/>
    </row>
    <row r="101" spans="1:13" hidden="1" x14ac:dyDescent="0.35">
      <c r="A101" s="40"/>
      <c r="B101" s="199"/>
      <c r="C101" s="239" t="s">
        <v>0</v>
      </c>
      <c r="D101" s="40"/>
      <c r="E101" s="294" t="s">
        <v>466</v>
      </c>
      <c r="F101" s="295"/>
      <c r="G101" s="240"/>
      <c r="H101" s="294" t="s">
        <v>467</v>
      </c>
      <c r="I101" s="295"/>
      <c r="J101" s="187"/>
      <c r="K101" s="197" t="s">
        <v>468</v>
      </c>
      <c r="L101" s="238"/>
      <c r="M101" s="187"/>
    </row>
    <row r="102" spans="1:13" hidden="1" x14ac:dyDescent="0.35">
      <c r="A102" s="40"/>
      <c r="B102" s="199"/>
      <c r="C102" s="204" t="s">
        <v>1</v>
      </c>
      <c r="D102" s="40"/>
      <c r="E102" s="294" t="s">
        <v>7</v>
      </c>
      <c r="F102" s="295"/>
      <c r="G102" s="213"/>
      <c r="H102" s="294" t="s">
        <v>8</v>
      </c>
      <c r="I102" s="295"/>
      <c r="J102" s="241"/>
      <c r="K102" s="206"/>
      <c r="L102" s="238"/>
      <c r="M102" s="187"/>
    </row>
    <row r="103" spans="1:13" hidden="1" x14ac:dyDescent="0.35">
      <c r="A103" s="40"/>
      <c r="B103" s="199"/>
      <c r="C103" s="204" t="s">
        <v>2</v>
      </c>
      <c r="D103" s="40"/>
      <c r="E103" s="294" t="s">
        <v>4</v>
      </c>
      <c r="F103" s="295"/>
      <c r="G103" s="213"/>
      <c r="H103" s="294" t="s">
        <v>5</v>
      </c>
      <c r="I103" s="295"/>
      <c r="J103" s="40"/>
      <c r="K103" s="242"/>
      <c r="L103" s="238"/>
      <c r="M103" s="187"/>
    </row>
    <row r="104" spans="1:13" ht="15" hidden="1" customHeight="1" x14ac:dyDescent="0.35">
      <c r="A104" s="40"/>
      <c r="B104" s="199"/>
      <c r="C104" s="204" t="s">
        <v>3</v>
      </c>
      <c r="D104" s="40"/>
      <c r="E104" s="210"/>
      <c r="F104" s="185"/>
      <c r="G104" s="185"/>
      <c r="H104" s="185"/>
      <c r="I104" s="210"/>
      <c r="J104" s="40"/>
      <c r="K104" s="197"/>
      <c r="L104" s="238"/>
      <c r="M104" s="187"/>
    </row>
    <row r="105" spans="1:13" ht="15" hidden="1" customHeight="1" x14ac:dyDescent="0.35">
      <c r="A105" s="40"/>
      <c r="B105" s="199"/>
      <c r="C105" s="204" t="s">
        <v>6</v>
      </c>
      <c r="D105" s="40"/>
      <c r="E105" s="210"/>
      <c r="F105" s="185"/>
      <c r="G105" s="185"/>
      <c r="H105" s="185"/>
      <c r="I105" s="210"/>
      <c r="J105" s="40"/>
      <c r="K105" s="243"/>
      <c r="L105" s="238"/>
      <c r="M105" s="187"/>
    </row>
    <row r="106" spans="1:13" ht="15" hidden="1" customHeight="1" thickBot="1" x14ac:dyDescent="0.4">
      <c r="A106" s="40"/>
      <c r="B106" s="199"/>
      <c r="C106" s="209" t="s">
        <v>9</v>
      </c>
      <c r="D106" s="40"/>
      <c r="E106" s="210"/>
      <c r="F106" s="185"/>
      <c r="G106" s="185"/>
      <c r="H106" s="185"/>
      <c r="I106" s="210"/>
      <c r="K106" s="244"/>
      <c r="L106" s="238"/>
      <c r="M106" s="187"/>
    </row>
    <row r="107" spans="1:13" ht="15" hidden="1" customHeight="1" x14ac:dyDescent="0.35">
      <c r="A107" s="40"/>
      <c r="B107" s="199"/>
      <c r="C107" s="245"/>
      <c r="D107" s="40"/>
      <c r="E107" s="166"/>
      <c r="F107" s="166"/>
      <c r="G107" s="166"/>
      <c r="H107" s="166"/>
      <c r="I107" s="166"/>
      <c r="J107" s="184"/>
      <c r="K107" s="197"/>
      <c r="L107" s="186"/>
      <c r="M107" s="187"/>
    </row>
    <row r="108" spans="1:13" ht="15" hidden="1" customHeight="1" x14ac:dyDescent="0.35">
      <c r="A108" s="40"/>
      <c r="B108" s="199"/>
      <c r="C108" s="166"/>
      <c r="D108" s="40"/>
      <c r="E108" s="294" t="s">
        <v>469</v>
      </c>
      <c r="F108" s="295"/>
      <c r="G108" s="246"/>
      <c r="H108" s="292" t="s">
        <v>470</v>
      </c>
      <c r="I108" s="293"/>
      <c r="J108" s="247"/>
      <c r="K108" s="44"/>
      <c r="L108" s="186"/>
      <c r="M108" s="187"/>
    </row>
    <row r="109" spans="1:13" ht="15" hidden="1" customHeight="1" x14ac:dyDescent="0.35">
      <c r="A109" s="40"/>
      <c r="B109" s="199"/>
      <c r="C109" s="166"/>
      <c r="D109" s="40"/>
      <c r="E109" s="294" t="s">
        <v>469</v>
      </c>
      <c r="F109" s="295"/>
      <c r="G109" s="246"/>
      <c r="H109" s="292" t="s">
        <v>471</v>
      </c>
      <c r="I109" s="293"/>
      <c r="J109" s="247"/>
      <c r="K109" s="44"/>
      <c r="L109" s="186"/>
      <c r="M109" s="187"/>
    </row>
    <row r="110" spans="1:13" ht="15" hidden="1" customHeight="1" x14ac:dyDescent="0.35">
      <c r="A110" s="40"/>
      <c r="B110" s="199"/>
      <c r="C110" s="166"/>
      <c r="D110" s="40"/>
      <c r="E110" s="294" t="s">
        <v>469</v>
      </c>
      <c r="F110" s="295"/>
      <c r="G110" s="246"/>
      <c r="H110" s="292" t="s">
        <v>472</v>
      </c>
      <c r="I110" s="293"/>
      <c r="J110" s="247"/>
      <c r="K110" s="44"/>
      <c r="L110" s="186"/>
      <c r="M110" s="187"/>
    </row>
    <row r="111" spans="1:13" ht="15" hidden="1" customHeight="1" x14ac:dyDescent="0.35">
      <c r="A111" s="40"/>
      <c r="B111" s="199"/>
      <c r="C111" s="166"/>
      <c r="D111" s="40"/>
      <c r="E111" s="294" t="s">
        <v>469</v>
      </c>
      <c r="F111" s="295"/>
      <c r="G111" s="246"/>
      <c r="H111" s="292" t="s">
        <v>473</v>
      </c>
      <c r="I111" s="293"/>
      <c r="J111" s="247"/>
      <c r="K111" s="44"/>
      <c r="L111" s="186"/>
      <c r="M111" s="187"/>
    </row>
    <row r="112" spans="1:13" hidden="1" x14ac:dyDescent="0.35">
      <c r="A112" s="40"/>
      <c r="B112" s="199"/>
      <c r="C112" s="166"/>
      <c r="D112" s="40"/>
      <c r="E112" s="294" t="s">
        <v>469</v>
      </c>
      <c r="F112" s="295"/>
      <c r="G112" s="246"/>
      <c r="H112" s="292" t="s">
        <v>474</v>
      </c>
      <c r="I112" s="293"/>
      <c r="J112" s="247"/>
      <c r="K112" s="44"/>
      <c r="L112" s="186"/>
      <c r="M112" s="187"/>
    </row>
    <row r="113" spans="1:13" hidden="1" x14ac:dyDescent="0.35">
      <c r="A113" s="40"/>
      <c r="B113" s="199"/>
      <c r="C113" s="166"/>
      <c r="D113" s="40"/>
      <c r="E113" s="294" t="s">
        <v>469</v>
      </c>
      <c r="F113" s="295"/>
      <c r="G113" s="246"/>
      <c r="H113" s="292" t="s">
        <v>475</v>
      </c>
      <c r="I113" s="293"/>
      <c r="J113" s="247"/>
      <c r="K113" s="44"/>
      <c r="L113" s="186"/>
      <c r="M113" s="187"/>
    </row>
    <row r="114" spans="1:13" hidden="1" x14ac:dyDescent="0.35">
      <c r="A114" s="40"/>
      <c r="B114" s="199"/>
      <c r="C114" s="166"/>
      <c r="D114" s="40"/>
      <c r="E114" s="294" t="s">
        <v>469</v>
      </c>
      <c r="F114" s="295"/>
      <c r="G114" s="246"/>
      <c r="H114" s="292" t="s">
        <v>476</v>
      </c>
      <c r="I114" s="293"/>
      <c r="J114" s="247"/>
      <c r="K114" s="44"/>
      <c r="L114" s="186"/>
      <c r="M114" s="187"/>
    </row>
    <row r="115" spans="1:13" hidden="1" x14ac:dyDescent="0.35">
      <c r="A115" s="40"/>
      <c r="B115" s="199"/>
      <c r="C115" s="166"/>
      <c r="D115" s="40"/>
      <c r="E115" s="294" t="s">
        <v>469</v>
      </c>
      <c r="F115" s="295"/>
      <c r="G115" s="246"/>
      <c r="H115" s="292" t="s">
        <v>477</v>
      </c>
      <c r="I115" s="293"/>
      <c r="J115" s="247"/>
      <c r="K115" s="44"/>
      <c r="L115" s="186"/>
      <c r="M115" s="187"/>
    </row>
    <row r="116" spans="1:13" hidden="1" x14ac:dyDescent="0.35">
      <c r="A116" s="40"/>
      <c r="B116" s="199"/>
      <c r="C116" s="166"/>
      <c r="D116" s="40"/>
      <c r="E116" s="294" t="s">
        <v>469</v>
      </c>
      <c r="F116" s="295"/>
      <c r="G116" s="246"/>
      <c r="H116" s="292" t="s">
        <v>478</v>
      </c>
      <c r="I116" s="293"/>
      <c r="J116" s="247"/>
      <c r="K116" s="44"/>
      <c r="L116" s="186"/>
      <c r="M116" s="187"/>
    </row>
    <row r="117" spans="1:13" hidden="1" x14ac:dyDescent="0.35">
      <c r="A117" s="40"/>
      <c r="B117" s="199"/>
      <c r="C117" s="166"/>
      <c r="D117" s="40"/>
      <c r="E117" s="294" t="s">
        <v>469</v>
      </c>
      <c r="F117" s="295"/>
      <c r="G117" s="246"/>
      <c r="H117" s="292" t="s">
        <v>479</v>
      </c>
      <c r="I117" s="293"/>
      <c r="J117" s="247"/>
      <c r="K117" s="44"/>
      <c r="L117" s="186"/>
      <c r="M117" s="187"/>
    </row>
    <row r="118" spans="1:13" hidden="1" x14ac:dyDescent="0.35">
      <c r="A118" s="40"/>
      <c r="B118" s="199"/>
      <c r="C118" s="166"/>
      <c r="D118" s="40"/>
      <c r="E118" s="294" t="s">
        <v>469</v>
      </c>
      <c r="F118" s="295"/>
      <c r="G118" s="246"/>
      <c r="H118" s="292" t="s">
        <v>480</v>
      </c>
      <c r="I118" s="293"/>
      <c r="J118" s="247"/>
      <c r="K118" s="44"/>
      <c r="L118" s="186"/>
      <c r="M118" s="187"/>
    </row>
    <row r="119" spans="1:13" hidden="1" x14ac:dyDescent="0.35">
      <c r="A119" s="40"/>
      <c r="B119" s="199"/>
      <c r="C119" s="166"/>
      <c r="D119" s="40"/>
      <c r="E119" s="294" t="s">
        <v>469</v>
      </c>
      <c r="F119" s="295"/>
      <c r="G119" s="246"/>
      <c r="H119" s="292" t="s">
        <v>481</v>
      </c>
      <c r="I119" s="293"/>
      <c r="J119" s="247"/>
      <c r="K119" s="44"/>
      <c r="L119" s="186"/>
      <c r="M119" s="187"/>
    </row>
    <row r="120" spans="1:13" hidden="1" x14ac:dyDescent="0.35">
      <c r="A120" s="40"/>
      <c r="B120" s="199"/>
      <c r="C120" s="166"/>
      <c r="D120" s="40"/>
      <c r="E120" s="294" t="s">
        <v>469</v>
      </c>
      <c r="F120" s="295"/>
      <c r="G120" s="246"/>
      <c r="H120" s="292" t="s">
        <v>482</v>
      </c>
      <c r="I120" s="293"/>
      <c r="J120" s="247"/>
      <c r="K120" s="44"/>
      <c r="L120" s="186"/>
      <c r="M120" s="187"/>
    </row>
    <row r="121" spans="1:13" hidden="1" x14ac:dyDescent="0.35">
      <c r="A121" s="40"/>
      <c r="B121" s="199"/>
      <c r="C121" s="166"/>
      <c r="D121" s="40"/>
      <c r="E121" s="294" t="s">
        <v>469</v>
      </c>
      <c r="F121" s="295"/>
      <c r="G121" s="246"/>
      <c r="H121" s="292" t="s">
        <v>483</v>
      </c>
      <c r="I121" s="293"/>
      <c r="J121" s="247"/>
      <c r="K121" s="44"/>
      <c r="L121" s="186"/>
      <c r="M121" s="187"/>
    </row>
    <row r="122" spans="1:13" hidden="1" x14ac:dyDescent="0.35">
      <c r="A122" s="40"/>
      <c r="B122" s="199"/>
      <c r="C122" s="166"/>
      <c r="D122" s="40"/>
      <c r="E122" s="294" t="s">
        <v>469</v>
      </c>
      <c r="F122" s="295"/>
      <c r="G122" s="246"/>
      <c r="H122" s="292" t="s">
        <v>484</v>
      </c>
      <c r="I122" s="293"/>
      <c r="J122" s="247"/>
      <c r="K122" s="44"/>
      <c r="L122" s="186"/>
      <c r="M122" s="187"/>
    </row>
    <row r="123" spans="1:13" hidden="1" x14ac:dyDescent="0.35">
      <c r="A123" s="40"/>
      <c r="B123" s="199"/>
      <c r="C123" s="166"/>
      <c r="D123" s="40"/>
      <c r="E123" s="294" t="s">
        <v>469</v>
      </c>
      <c r="F123" s="295"/>
      <c r="G123" s="246"/>
      <c r="H123" s="292" t="s">
        <v>485</v>
      </c>
      <c r="I123" s="293"/>
      <c r="J123" s="247"/>
      <c r="K123" s="44"/>
      <c r="L123" s="186"/>
      <c r="M123" s="187"/>
    </row>
    <row r="124" spans="1:13" hidden="1" x14ac:dyDescent="0.35">
      <c r="A124" s="40"/>
      <c r="B124" s="199"/>
      <c r="C124" s="166"/>
      <c r="D124" s="40"/>
      <c r="E124" s="294" t="s">
        <v>469</v>
      </c>
      <c r="F124" s="295"/>
      <c r="G124" s="246"/>
      <c r="H124" s="292" t="s">
        <v>485</v>
      </c>
      <c r="I124" s="293"/>
      <c r="J124" s="247"/>
      <c r="K124" s="44"/>
      <c r="L124" s="186"/>
      <c r="M124" s="187"/>
    </row>
    <row r="125" spans="1:13" hidden="1" x14ac:dyDescent="0.35">
      <c r="A125" s="40"/>
      <c r="B125" s="199"/>
      <c r="C125" s="166"/>
      <c r="D125" s="40"/>
      <c r="E125" s="294" t="s">
        <v>469</v>
      </c>
      <c r="F125" s="295"/>
      <c r="G125" s="246"/>
      <c r="H125" s="292" t="s">
        <v>485</v>
      </c>
      <c r="I125" s="293"/>
      <c r="J125" s="247"/>
      <c r="K125" s="44"/>
      <c r="L125" s="186"/>
      <c r="M125" s="187"/>
    </row>
    <row r="126" spans="1:13" hidden="1" x14ac:dyDescent="0.35">
      <c r="A126" s="40"/>
      <c r="B126" s="199"/>
      <c r="C126" s="166"/>
      <c r="D126" s="40"/>
      <c r="E126" s="294" t="s">
        <v>469</v>
      </c>
      <c r="F126" s="295"/>
      <c r="G126" s="246"/>
      <c r="H126" s="292" t="s">
        <v>485</v>
      </c>
      <c r="I126" s="293"/>
      <c r="J126" s="247"/>
      <c r="K126" s="44"/>
      <c r="L126" s="186"/>
      <c r="M126" s="187"/>
    </row>
    <row r="127" spans="1:13" hidden="1" x14ac:dyDescent="0.35">
      <c r="A127" s="40"/>
      <c r="B127" s="199"/>
      <c r="C127" s="166"/>
      <c r="D127" s="40"/>
      <c r="E127" s="294" t="s">
        <v>469</v>
      </c>
      <c r="F127" s="295"/>
      <c r="G127" s="246"/>
      <c r="H127" s="292" t="s">
        <v>485</v>
      </c>
      <c r="I127" s="293"/>
      <c r="J127" s="247"/>
      <c r="K127" s="44"/>
      <c r="L127" s="186"/>
      <c r="M127" s="187"/>
    </row>
    <row r="128" spans="1:13" hidden="1" x14ac:dyDescent="0.35">
      <c r="A128" s="40"/>
      <c r="B128" s="199"/>
      <c r="C128" s="166"/>
      <c r="D128" s="40"/>
      <c r="E128" s="294" t="s">
        <v>469</v>
      </c>
      <c r="F128" s="295"/>
      <c r="G128" s="246"/>
      <c r="H128" s="292" t="s">
        <v>485</v>
      </c>
      <c r="I128" s="293"/>
      <c r="J128" s="247"/>
      <c r="K128" s="44"/>
      <c r="L128" s="186"/>
      <c r="M128" s="187"/>
    </row>
    <row r="129" spans="1:13" hidden="1" x14ac:dyDescent="0.35">
      <c r="A129" s="40"/>
      <c r="B129" s="199"/>
      <c r="C129" s="166"/>
      <c r="D129" s="40"/>
      <c r="E129" s="294" t="s">
        <v>469</v>
      </c>
      <c r="F129" s="295"/>
      <c r="G129" s="246"/>
      <c r="H129" s="292" t="s">
        <v>485</v>
      </c>
      <c r="I129" s="293"/>
      <c r="J129" s="247"/>
      <c r="K129" s="44"/>
      <c r="L129" s="186"/>
      <c r="M129" s="187"/>
    </row>
    <row r="130" spans="1:13" hidden="1" x14ac:dyDescent="0.35">
      <c r="A130" s="40"/>
      <c r="B130" s="199"/>
      <c r="C130" s="166"/>
      <c r="D130" s="40"/>
      <c r="E130" s="294" t="s">
        <v>469</v>
      </c>
      <c r="F130" s="295"/>
      <c r="G130" s="246"/>
      <c r="H130" s="292" t="s">
        <v>485</v>
      </c>
      <c r="I130" s="293"/>
      <c r="J130" s="247"/>
      <c r="K130" s="44"/>
      <c r="L130" s="186"/>
      <c r="M130" s="187"/>
    </row>
    <row r="131" spans="1:13" hidden="1" x14ac:dyDescent="0.35">
      <c r="A131" s="40"/>
      <c r="B131" s="199"/>
      <c r="C131" s="166"/>
      <c r="D131" s="40"/>
      <c r="E131" s="294" t="s">
        <v>469</v>
      </c>
      <c r="F131" s="295"/>
      <c r="G131" s="246"/>
      <c r="H131" s="292" t="s">
        <v>485</v>
      </c>
      <c r="I131" s="293"/>
      <c r="J131" s="247"/>
      <c r="K131" s="44"/>
      <c r="L131" s="186"/>
      <c r="M131" s="187"/>
    </row>
    <row r="132" spans="1:13" hidden="1" x14ac:dyDescent="0.35">
      <c r="A132" s="40"/>
      <c r="B132" s="199"/>
      <c r="C132" s="166"/>
      <c r="D132" s="40"/>
      <c r="E132" s="294" t="s">
        <v>469</v>
      </c>
      <c r="F132" s="295"/>
      <c r="G132" s="246"/>
      <c r="H132" s="292" t="s">
        <v>485</v>
      </c>
      <c r="I132" s="293"/>
      <c r="J132" s="247"/>
      <c r="K132" s="44"/>
      <c r="L132" s="186"/>
      <c r="M132" s="187"/>
    </row>
    <row r="133" spans="1:13" hidden="1" x14ac:dyDescent="0.35">
      <c r="A133" s="40"/>
      <c r="B133" s="199"/>
      <c r="C133" s="166"/>
      <c r="D133" s="40"/>
      <c r="E133" s="294" t="s">
        <v>469</v>
      </c>
      <c r="F133" s="295"/>
      <c r="G133" s="246"/>
      <c r="H133" s="292" t="s">
        <v>485</v>
      </c>
      <c r="I133" s="293"/>
      <c r="J133" s="247"/>
      <c r="K133" s="44"/>
      <c r="L133" s="186"/>
      <c r="M133" s="187"/>
    </row>
    <row r="134" spans="1:13" hidden="1" x14ac:dyDescent="0.35">
      <c r="A134" s="40"/>
      <c r="B134" s="199"/>
      <c r="C134" s="166"/>
      <c r="D134" s="40"/>
      <c r="E134" s="294" t="s">
        <v>469</v>
      </c>
      <c r="F134" s="295"/>
      <c r="G134" s="246"/>
      <c r="H134" s="292" t="s">
        <v>485</v>
      </c>
      <c r="I134" s="293"/>
      <c r="J134" s="247"/>
      <c r="K134" s="44"/>
      <c r="L134" s="186"/>
      <c r="M134" s="187"/>
    </row>
    <row r="135" spans="1:13" hidden="1" x14ac:dyDescent="0.35">
      <c r="A135" s="40"/>
      <c r="B135" s="199"/>
      <c r="C135" s="166"/>
      <c r="D135" s="40"/>
      <c r="E135" s="294" t="s">
        <v>469</v>
      </c>
      <c r="F135" s="295"/>
      <c r="G135" s="246"/>
      <c r="H135" s="292" t="s">
        <v>485</v>
      </c>
      <c r="I135" s="293"/>
      <c r="J135" s="247"/>
      <c r="K135" s="44"/>
      <c r="L135" s="186"/>
      <c r="M135" s="187"/>
    </row>
    <row r="136" spans="1:13" hidden="1" x14ac:dyDescent="0.35">
      <c r="A136" s="40"/>
      <c r="B136" s="199"/>
      <c r="C136" s="166"/>
      <c r="D136" s="40"/>
      <c r="E136" s="294" t="s">
        <v>469</v>
      </c>
      <c r="F136" s="295"/>
      <c r="G136" s="246"/>
      <c r="H136" s="292" t="s">
        <v>485</v>
      </c>
      <c r="I136" s="293"/>
      <c r="J136" s="247"/>
      <c r="K136" s="44"/>
      <c r="L136" s="186"/>
      <c r="M136" s="187"/>
    </row>
    <row r="137" spans="1:13" hidden="1" x14ac:dyDescent="0.35">
      <c r="A137" s="40"/>
      <c r="B137" s="199"/>
      <c r="C137" s="166"/>
      <c r="D137" s="40"/>
      <c r="E137" s="294" t="s">
        <v>469</v>
      </c>
      <c r="F137" s="295"/>
      <c r="G137" s="246"/>
      <c r="H137" s="292" t="s">
        <v>485</v>
      </c>
      <c r="I137" s="293"/>
      <c r="J137" s="247"/>
      <c r="K137" s="44"/>
      <c r="L137" s="186"/>
      <c r="M137" s="187"/>
    </row>
    <row r="138" spans="1:13" hidden="1" x14ac:dyDescent="0.35">
      <c r="A138" s="40"/>
      <c r="B138" s="199"/>
      <c r="C138" s="166"/>
      <c r="D138" s="40"/>
      <c r="E138" s="294" t="s">
        <v>469</v>
      </c>
      <c r="F138" s="295"/>
      <c r="G138" s="246"/>
      <c r="H138" s="292" t="s">
        <v>485</v>
      </c>
      <c r="I138" s="293"/>
      <c r="J138" s="247"/>
      <c r="K138" s="44"/>
      <c r="L138" s="186"/>
      <c r="M138" s="187"/>
    </row>
    <row r="139" spans="1:13" hidden="1" x14ac:dyDescent="0.35">
      <c r="A139" s="40"/>
      <c r="B139" s="199"/>
      <c r="C139" s="166"/>
      <c r="D139" s="40"/>
      <c r="E139" s="294" t="s">
        <v>469</v>
      </c>
      <c r="F139" s="295"/>
      <c r="G139" s="246"/>
      <c r="H139" s="292" t="s">
        <v>485</v>
      </c>
      <c r="I139" s="293"/>
      <c r="J139" s="247"/>
      <c r="K139" s="44"/>
      <c r="L139" s="186"/>
      <c r="M139" s="187"/>
    </row>
    <row r="140" spans="1:13" hidden="1" x14ac:dyDescent="0.35">
      <c r="A140" s="40"/>
      <c r="B140" s="199"/>
      <c r="C140" s="166"/>
      <c r="D140" s="40"/>
      <c r="E140" s="294" t="s">
        <v>469</v>
      </c>
      <c r="F140" s="295"/>
      <c r="G140" s="246"/>
      <c r="H140" s="292" t="s">
        <v>485</v>
      </c>
      <c r="I140" s="293"/>
      <c r="J140" s="247"/>
      <c r="K140" s="44"/>
      <c r="L140" s="186"/>
      <c r="M140" s="187"/>
    </row>
    <row r="141" spans="1:13" ht="15" hidden="1" customHeight="1" x14ac:dyDescent="0.35">
      <c r="A141" s="40"/>
      <c r="B141" s="199"/>
      <c r="C141" s="166"/>
      <c r="D141" s="40"/>
      <c r="E141" s="294" t="s">
        <v>469</v>
      </c>
      <c r="F141" s="295"/>
      <c r="G141" s="246"/>
      <c r="H141" s="292" t="s">
        <v>485</v>
      </c>
      <c r="I141" s="293"/>
      <c r="J141" s="247"/>
      <c r="K141" s="44"/>
      <c r="L141" s="186"/>
      <c r="M141" s="187"/>
    </row>
    <row r="142" spans="1:13" ht="15" hidden="1" customHeight="1" x14ac:dyDescent="0.35">
      <c r="A142" s="40"/>
      <c r="B142" s="199"/>
      <c r="C142" s="166"/>
      <c r="D142" s="40"/>
      <c r="E142" s="294" t="s">
        <v>469</v>
      </c>
      <c r="F142" s="295"/>
      <c r="G142" s="246"/>
      <c r="H142" s="292" t="s">
        <v>485</v>
      </c>
      <c r="I142" s="293"/>
      <c r="J142" s="247"/>
      <c r="K142" s="44"/>
      <c r="L142" s="186"/>
      <c r="M142" s="187"/>
    </row>
    <row r="143" spans="1:13" ht="15" hidden="1" customHeight="1" x14ac:dyDescent="0.35">
      <c r="A143" s="40"/>
      <c r="B143" s="199"/>
      <c r="C143" s="166"/>
      <c r="D143" s="40"/>
      <c r="E143" s="294" t="s">
        <v>469</v>
      </c>
      <c r="F143" s="295"/>
      <c r="G143" s="246"/>
      <c r="H143" s="292" t="s">
        <v>485</v>
      </c>
      <c r="I143" s="293"/>
      <c r="J143" s="247"/>
      <c r="K143" s="44"/>
      <c r="L143" s="186"/>
      <c r="M143" s="187"/>
    </row>
    <row r="144" spans="1:13" ht="14.5" hidden="1" customHeight="1" x14ac:dyDescent="0.35">
      <c r="A144" s="40"/>
      <c r="B144" s="199"/>
      <c r="C144" s="166"/>
      <c r="D144" s="40"/>
      <c r="E144" s="294" t="s">
        <v>469</v>
      </c>
      <c r="F144" s="295"/>
      <c r="G144" s="246"/>
      <c r="H144" s="292" t="s">
        <v>485</v>
      </c>
      <c r="I144" s="293"/>
      <c r="J144" s="247"/>
      <c r="K144" s="44"/>
      <c r="L144" s="186"/>
      <c r="M144" s="187"/>
    </row>
    <row r="145" spans="1:13" hidden="1" x14ac:dyDescent="0.35">
      <c r="A145" s="40"/>
      <c r="B145" s="199"/>
      <c r="C145" s="40"/>
      <c r="D145" s="40"/>
      <c r="E145" s="187"/>
      <c r="F145" s="187"/>
      <c r="G145" s="187"/>
      <c r="H145" s="187"/>
      <c r="I145" s="187"/>
      <c r="J145" s="187"/>
      <c r="K145" s="201"/>
      <c r="L145" s="248"/>
      <c r="M145" s="187"/>
    </row>
    <row r="146" spans="1:13" ht="14.5" customHeight="1" thickBot="1" x14ac:dyDescent="0.4">
      <c r="B146" s="199"/>
      <c r="C146" s="249"/>
      <c r="D146" s="40"/>
      <c r="E146" s="250" t="s">
        <v>486</v>
      </c>
      <c r="F146" s="187"/>
      <c r="G146" s="187"/>
      <c r="H146" s="187"/>
      <c r="I146" s="187"/>
      <c r="K146" s="251" t="s">
        <v>487</v>
      </c>
      <c r="L146" s="248"/>
      <c r="M146" s="166"/>
    </row>
    <row r="147" spans="1:13" x14ac:dyDescent="0.35">
      <c r="B147" s="199"/>
      <c r="C147" s="239" t="s">
        <v>0</v>
      </c>
      <c r="D147" s="40"/>
      <c r="E147" s="296" t="s">
        <v>488</v>
      </c>
      <c r="F147" s="297"/>
      <c r="G147" s="252">
        <v>59.16</v>
      </c>
      <c r="H147" s="296" t="s">
        <v>467</v>
      </c>
      <c r="I147" s="297"/>
      <c r="J147" s="253" t="s">
        <v>489</v>
      </c>
      <c r="K147" s="283">
        <f>'Canopy Cover Benefit'!C9+'Canopy Cover Benefit'!C23+'Canopy Cover Benefit'!C31+'Canopy Cover Benefit'!C47+'Canopy Cover Benefit'!C56</f>
        <v>27170.488783869896</v>
      </c>
      <c r="L147" s="238"/>
      <c r="M147" s="166"/>
    </row>
    <row r="148" spans="1:13" ht="15" customHeight="1" x14ac:dyDescent="0.35">
      <c r="B148" s="199"/>
      <c r="C148" s="204" t="s">
        <v>6</v>
      </c>
      <c r="D148" s="40"/>
      <c r="E148" s="298" t="s">
        <v>11</v>
      </c>
      <c r="F148" s="299"/>
      <c r="G148" s="163">
        <f>1039198/491.25</f>
        <v>2115.4157760814251</v>
      </c>
      <c r="H148" s="298" t="s">
        <v>12</v>
      </c>
      <c r="I148" s="299"/>
      <c r="J148" s="254" t="s">
        <v>490</v>
      </c>
      <c r="K148" s="283">
        <f>'Canopy Cover Benefit'!C9+'Canopy Cover Benefit'!C23+'Canopy Cover Benefit'!C31+'Canopy Cover Benefit'!D47+'Canopy Cover Benefit'!C56</f>
        <v>38264.122344986317</v>
      </c>
      <c r="L148" s="238"/>
      <c r="M148" s="166"/>
    </row>
    <row r="149" spans="1:13" ht="15" customHeight="1" thickBot="1" x14ac:dyDescent="0.4">
      <c r="B149" s="199"/>
      <c r="C149" s="209" t="s">
        <v>9</v>
      </c>
      <c r="D149" s="40"/>
      <c r="E149" s="300"/>
      <c r="F149" s="300"/>
      <c r="G149" s="242"/>
      <c r="H149" s="300"/>
      <c r="I149" s="300"/>
      <c r="J149" s="254"/>
      <c r="K149" s="255"/>
      <c r="L149" s="238"/>
      <c r="M149" s="166"/>
    </row>
    <row r="150" spans="1:13" ht="15" customHeight="1" x14ac:dyDescent="0.35">
      <c r="B150" s="199"/>
      <c r="C150" s="40"/>
      <c r="D150" s="40"/>
      <c r="E150" s="291"/>
      <c r="F150" s="291"/>
      <c r="G150" s="256"/>
      <c r="H150" s="256"/>
      <c r="I150" s="222"/>
      <c r="J150" s="241"/>
      <c r="K150" s="257"/>
      <c r="L150" s="186"/>
      <c r="M150" s="166"/>
    </row>
    <row r="151" spans="1:13" ht="15" customHeight="1" thickBot="1" x14ac:dyDescent="0.4">
      <c r="B151" s="199"/>
      <c r="C151" s="166"/>
      <c r="D151" s="40"/>
      <c r="E151" s="250" t="s">
        <v>491</v>
      </c>
      <c r="F151" s="250"/>
      <c r="G151" s="256"/>
      <c r="H151" s="256"/>
      <c r="I151" s="222"/>
      <c r="J151" s="241"/>
      <c r="K151" s="251" t="s">
        <v>492</v>
      </c>
      <c r="L151" s="186"/>
      <c r="M151" s="166"/>
    </row>
    <row r="152" spans="1:13" ht="14.5" customHeight="1" thickBot="1" x14ac:dyDescent="0.4">
      <c r="B152" s="199"/>
      <c r="C152" s="258" t="s">
        <v>13</v>
      </c>
      <c r="D152" s="40"/>
      <c r="E152" s="292" t="s">
        <v>493</v>
      </c>
      <c r="F152" s="293"/>
      <c r="G152" s="259">
        <v>10</v>
      </c>
      <c r="H152" s="284" t="s">
        <v>467</v>
      </c>
      <c r="I152" s="284"/>
      <c r="J152" s="254" t="s">
        <v>489</v>
      </c>
      <c r="K152" s="283">
        <f>'Green Roof Benefit'!B15+'Green Roof Benefit'!B20+'Green Roof Benefit'!B27</f>
        <v>21905.444236123694</v>
      </c>
      <c r="L152" s="186"/>
      <c r="M152" s="166"/>
    </row>
    <row r="153" spans="1:13" ht="15" customHeight="1" x14ac:dyDescent="0.35">
      <c r="B153" s="199"/>
      <c r="C153" s="166"/>
      <c r="D153" s="40"/>
      <c r="E153" s="292" t="s">
        <v>494</v>
      </c>
      <c r="F153" s="293"/>
      <c r="G153" s="260">
        <v>100000</v>
      </c>
      <c r="H153" s="284" t="s">
        <v>495</v>
      </c>
      <c r="I153" s="284"/>
      <c r="J153" s="261" t="s">
        <v>490</v>
      </c>
      <c r="K153" s="283">
        <f>'Green Roof Benefit'!C15+'Green Roof Benefit'!B20+'Green Roof Benefit'!B27</f>
        <v>27721.477339678422</v>
      </c>
      <c r="L153" s="186"/>
      <c r="M153" s="166"/>
    </row>
    <row r="154" spans="1:13" ht="15" customHeight="1" x14ac:dyDescent="0.35">
      <c r="B154" s="199"/>
      <c r="C154" s="166"/>
      <c r="D154" s="40"/>
      <c r="E154" s="294" t="s">
        <v>14</v>
      </c>
      <c r="F154" s="295"/>
      <c r="G154" s="260" t="s">
        <v>54</v>
      </c>
      <c r="H154" s="284" t="s">
        <v>496</v>
      </c>
      <c r="I154" s="284"/>
      <c r="J154" s="241"/>
      <c r="K154" s="262"/>
      <c r="L154" s="186"/>
      <c r="M154" s="166"/>
    </row>
    <row r="155" spans="1:13" ht="15" customHeight="1" x14ac:dyDescent="0.35">
      <c r="B155" s="199"/>
      <c r="C155" s="166"/>
      <c r="D155" s="40"/>
      <c r="E155" s="263" t="s">
        <v>497</v>
      </c>
      <c r="F155" s="263"/>
      <c r="G155" s="260" t="s">
        <v>414</v>
      </c>
      <c r="H155" s="284" t="s">
        <v>498</v>
      </c>
      <c r="I155" s="284"/>
      <c r="J155" s="241"/>
      <c r="K155" s="262"/>
      <c r="L155" s="186"/>
      <c r="M155" s="166"/>
    </row>
    <row r="156" spans="1:13" ht="15" customHeight="1" x14ac:dyDescent="0.35">
      <c r="B156" s="199"/>
      <c r="C156" s="166"/>
      <c r="D156" s="40"/>
      <c r="E156" s="285" t="s">
        <v>499</v>
      </c>
      <c r="F156" s="286"/>
      <c r="G156" s="281">
        <f>'Green Roof Benefit'!B26</f>
        <v>139.6</v>
      </c>
      <c r="H156" s="289" t="s">
        <v>500</v>
      </c>
      <c r="I156" s="290"/>
      <c r="J156" s="241"/>
      <c r="K156" s="214"/>
      <c r="L156" s="186"/>
      <c r="M156" s="166"/>
    </row>
    <row r="157" spans="1:13" ht="15" customHeight="1" x14ac:dyDescent="0.35">
      <c r="B157" s="199"/>
      <c r="C157" s="166"/>
      <c r="D157" s="40"/>
      <c r="E157" s="287"/>
      <c r="F157" s="288"/>
      <c r="G157" s="264" t="s">
        <v>506</v>
      </c>
      <c r="H157" s="265" t="s">
        <v>507</v>
      </c>
      <c r="I157" s="266"/>
      <c r="J157" s="241"/>
      <c r="K157" s="255"/>
      <c r="L157" s="186"/>
      <c r="M157" s="166"/>
    </row>
    <row r="158" spans="1:13" ht="15" hidden="1" customHeight="1" x14ac:dyDescent="0.35">
      <c r="B158" s="199"/>
      <c r="C158" s="166"/>
      <c r="D158" s="40"/>
      <c r="E158" s="267"/>
      <c r="F158" s="267"/>
      <c r="G158" s="268"/>
      <c r="H158" s="269"/>
      <c r="I158" s="269"/>
      <c r="J158" s="241"/>
      <c r="K158" s="197" t="s">
        <v>501</v>
      </c>
      <c r="L158" s="186"/>
      <c r="M158" s="166"/>
    </row>
    <row r="159" spans="1:13" ht="15" hidden="1" customHeight="1" x14ac:dyDescent="0.35">
      <c r="B159" s="199"/>
      <c r="C159" s="166"/>
      <c r="D159" s="40"/>
      <c r="E159" s="267"/>
      <c r="F159" s="267"/>
      <c r="G159" s="268"/>
      <c r="H159" s="269"/>
      <c r="I159" s="269"/>
      <c r="J159" s="241"/>
      <c r="K159" s="270"/>
      <c r="L159" s="186"/>
      <c r="M159" s="166"/>
    </row>
    <row r="160" spans="1:13" ht="15" customHeight="1" thickBot="1" x14ac:dyDescent="0.4">
      <c r="B160" s="271"/>
      <c r="C160" s="272"/>
      <c r="D160" s="273"/>
      <c r="E160" s="274"/>
      <c r="F160" s="275"/>
      <c r="G160" s="275"/>
      <c r="H160" s="275"/>
      <c r="I160" s="274"/>
      <c r="J160" s="274"/>
      <c r="K160" s="276"/>
      <c r="L160" s="277"/>
      <c r="M160" s="166"/>
    </row>
    <row r="161" spans="2:15" ht="15" customHeight="1" x14ac:dyDescent="0.35">
      <c r="B161" s="143"/>
      <c r="C161" s="40"/>
      <c r="D161" s="40"/>
      <c r="E161" s="40"/>
      <c r="F161" s="40"/>
      <c r="G161" s="40"/>
      <c r="H161" s="40"/>
      <c r="I161" s="40"/>
      <c r="J161" s="40"/>
      <c r="K161" s="44"/>
      <c r="L161" s="40"/>
    </row>
    <row r="163" spans="2:15" ht="15" customHeight="1" x14ac:dyDescent="0.35"/>
    <row r="165" spans="2:15" ht="15" customHeight="1" x14ac:dyDescent="0.35"/>
    <row r="166" spans="2:15" ht="15" customHeight="1" x14ac:dyDescent="0.35"/>
    <row r="167" spans="2:15" ht="15" customHeight="1" x14ac:dyDescent="0.35"/>
    <row r="168" spans="2:15" ht="15" customHeight="1" x14ac:dyDescent="0.35"/>
    <row r="169" spans="2:15" ht="15" customHeight="1" x14ac:dyDescent="0.35"/>
    <row r="170" spans="2:15" ht="15" customHeight="1" x14ac:dyDescent="0.35">
      <c r="O170" s="279"/>
    </row>
    <row r="171" spans="2:15" ht="15" customHeight="1" x14ac:dyDescent="0.35"/>
    <row r="172" spans="2:15" ht="15" customHeight="1" x14ac:dyDescent="0.35">
      <c r="O172" s="280"/>
    </row>
    <row r="173" spans="2:15" ht="15" customHeight="1" x14ac:dyDescent="0.35"/>
    <row r="174" spans="2:15" ht="15" customHeight="1" x14ac:dyDescent="0.35"/>
    <row r="175" spans="2:15" ht="15" customHeight="1" x14ac:dyDescent="0.35"/>
    <row r="176" spans="2:15" ht="15" customHeight="1" x14ac:dyDescent="0.35"/>
    <row r="177" ht="15" customHeight="1" x14ac:dyDescent="0.35"/>
    <row r="178" ht="15" customHeight="1" x14ac:dyDescent="0.35"/>
    <row r="179" ht="15" customHeight="1" x14ac:dyDescent="0.35"/>
    <row r="180" ht="15" customHeight="1" x14ac:dyDescent="0.35"/>
    <row r="181" ht="15" customHeight="1" x14ac:dyDescent="0.35"/>
    <row r="182" ht="15" customHeight="1" x14ac:dyDescent="0.35"/>
    <row r="183" ht="15" customHeight="1" x14ac:dyDescent="0.35"/>
    <row r="184" ht="15" customHeight="1" x14ac:dyDescent="0.35"/>
    <row r="185" ht="15" customHeight="1" x14ac:dyDescent="0.35"/>
    <row r="186" ht="15" customHeight="1" x14ac:dyDescent="0.35"/>
  </sheetData>
  <mergeCells count="115">
    <mergeCell ref="C2:L3"/>
    <mergeCell ref="B4:L4"/>
    <mergeCell ref="C5:L5"/>
    <mergeCell ref="E12:H12"/>
    <mergeCell ref="E13:H13"/>
    <mergeCell ref="E65:F65"/>
    <mergeCell ref="H65:I65"/>
    <mergeCell ref="E75:F75"/>
    <mergeCell ref="H75:I75"/>
    <mergeCell ref="H80:I80"/>
    <mergeCell ref="E81:F81"/>
    <mergeCell ref="H81:I81"/>
    <mergeCell ref="E101:F101"/>
    <mergeCell ref="H101:I101"/>
    <mergeCell ref="E66:F67"/>
    <mergeCell ref="H66:I66"/>
    <mergeCell ref="H67:I67"/>
    <mergeCell ref="E73:F73"/>
    <mergeCell ref="H73:I73"/>
    <mergeCell ref="E74:F74"/>
    <mergeCell ref="H74:I74"/>
    <mergeCell ref="E109:F109"/>
    <mergeCell ref="H109:I109"/>
    <mergeCell ref="E110:F110"/>
    <mergeCell ref="H110:I110"/>
    <mergeCell ref="E111:F111"/>
    <mergeCell ref="H111:I111"/>
    <mergeCell ref="E102:F102"/>
    <mergeCell ref="H102:I102"/>
    <mergeCell ref="E103:F103"/>
    <mergeCell ref="H103:I103"/>
    <mergeCell ref="E108:F108"/>
    <mergeCell ref="H108:I108"/>
    <mergeCell ref="E115:F115"/>
    <mergeCell ref="H115:I115"/>
    <mergeCell ref="E116:F116"/>
    <mergeCell ref="H116:I116"/>
    <mergeCell ref="E117:F117"/>
    <mergeCell ref="H117:I117"/>
    <mergeCell ref="E112:F112"/>
    <mergeCell ref="H112:I112"/>
    <mergeCell ref="E113:F113"/>
    <mergeCell ref="H113:I113"/>
    <mergeCell ref="E114:F114"/>
    <mergeCell ref="H114:I114"/>
    <mergeCell ref="E121:F121"/>
    <mergeCell ref="H121:I121"/>
    <mergeCell ref="E122:F122"/>
    <mergeCell ref="H122:I122"/>
    <mergeCell ref="E123:F123"/>
    <mergeCell ref="H123:I123"/>
    <mergeCell ref="E118:F118"/>
    <mergeCell ref="H118:I118"/>
    <mergeCell ref="E119:F119"/>
    <mergeCell ref="H119:I119"/>
    <mergeCell ref="E120:F120"/>
    <mergeCell ref="H120:I120"/>
    <mergeCell ref="E127:F127"/>
    <mergeCell ref="H127:I127"/>
    <mergeCell ref="E128:F128"/>
    <mergeCell ref="H128:I128"/>
    <mergeCell ref="E129:F129"/>
    <mergeCell ref="H129:I129"/>
    <mergeCell ref="E124:F124"/>
    <mergeCell ref="H124:I124"/>
    <mergeCell ref="E125:F125"/>
    <mergeCell ref="H125:I125"/>
    <mergeCell ref="E126:F126"/>
    <mergeCell ref="H126:I126"/>
    <mergeCell ref="E133:F133"/>
    <mergeCell ref="H133:I133"/>
    <mergeCell ref="E134:F134"/>
    <mergeCell ref="H134:I134"/>
    <mergeCell ref="E135:F135"/>
    <mergeCell ref="H135:I135"/>
    <mergeCell ref="E130:F130"/>
    <mergeCell ref="H130:I130"/>
    <mergeCell ref="E131:F131"/>
    <mergeCell ref="H131:I131"/>
    <mergeCell ref="E132:F132"/>
    <mergeCell ref="H132:I132"/>
    <mergeCell ref="E139:F139"/>
    <mergeCell ref="H139:I139"/>
    <mergeCell ref="E140:F140"/>
    <mergeCell ref="H140:I140"/>
    <mergeCell ref="E141:F141"/>
    <mergeCell ref="H141:I141"/>
    <mergeCell ref="E136:F136"/>
    <mergeCell ref="H136:I136"/>
    <mergeCell ref="E137:F137"/>
    <mergeCell ref="H137:I137"/>
    <mergeCell ref="E138:F138"/>
    <mergeCell ref="H138:I138"/>
    <mergeCell ref="E147:F147"/>
    <mergeCell ref="H147:I147"/>
    <mergeCell ref="E148:F148"/>
    <mergeCell ref="H148:I148"/>
    <mergeCell ref="E149:F149"/>
    <mergeCell ref="H149:I149"/>
    <mergeCell ref="E142:F142"/>
    <mergeCell ref="H142:I142"/>
    <mergeCell ref="E143:F143"/>
    <mergeCell ref="H143:I143"/>
    <mergeCell ref="E144:F144"/>
    <mergeCell ref="H144:I144"/>
    <mergeCell ref="H155:I155"/>
    <mergeCell ref="E156:F157"/>
    <mergeCell ref="H156:I156"/>
    <mergeCell ref="E150:F150"/>
    <mergeCell ref="E152:F152"/>
    <mergeCell ref="H152:I152"/>
    <mergeCell ref="E153:F153"/>
    <mergeCell ref="H153:I153"/>
    <mergeCell ref="E154:F154"/>
    <mergeCell ref="H154:I154"/>
  </mergeCells>
  <dataValidations count="12">
    <dataValidation type="list" allowBlank="1" showInputMessage="1" showErrorMessage="1" sqref="E9:E11">
      <formula1>$P$13:$P$16</formula1>
    </dataValidation>
    <dataValidation type="list" allowBlank="1" showInputMessage="1" showErrorMessage="1" sqref="C9">
      <formula1>$P$18:$P$32</formula1>
    </dataValidation>
    <dataValidation type="list" allowBlank="1" showInputMessage="1" showErrorMessage="1" sqref="G154">
      <formula1>$P$38:$P$47</formula1>
    </dataValidation>
    <dataValidation type="list" allowBlank="1" showInputMessage="1" showErrorMessage="1" sqref="H81:I81">
      <formula1>"$P$5:$P$7"</formula1>
    </dataValidation>
    <dataValidation allowBlank="1" showInputMessage="1" showErrorMessage="1" promptTitle="Green space percentage" prompt="% of residential land use area that is green space (for HRUs with a 1, 2, or 3 in the residential land column)" sqref="F21"/>
    <dataValidation allowBlank="1" showInputMessage="1" showErrorMessage="1" promptTitle="Residential land" prompt="1 if low-density, 2 if medium-density, or 3 if high-density residential; 0 otherwise" sqref="E21"/>
    <dataValidation allowBlank="1" showInputMessage="1" showErrorMessage="1" promptTitle="Agricultural land" prompt="1 if agricultural, 0 otherwise" sqref="D21"/>
    <dataValidation type="decimal" allowBlank="1" showInputMessage="1" showErrorMessage="1" sqref="G108:G144">
      <formula1>0</formula1>
      <formula2>100</formula2>
    </dataValidation>
    <dataValidation type="list" allowBlank="1" showInputMessage="1" showErrorMessage="1" sqref="C74 C72 C68 C66 C80 C78 C76 E88:E89 C82">
      <formula1>",TN_Scenario,TN_DRSet_Test,TSS_BaselineWTP,TSS_ScenWTP,TN_Baseline,TP_Baseline,TP_Scenario"</formula1>
    </dataValidation>
    <dataValidation type="list" allowBlank="1" showInputMessage="1" showErrorMessage="1" sqref="G155">
      <formula1>$P$51:$P$54</formula1>
    </dataValidation>
    <dataValidation type="list" allowBlank="1" showInputMessage="1" showErrorMessage="1" sqref="E90">
      <formula1>",TN_Scenario"</formula1>
    </dataValidation>
    <dataValidation type="whole" allowBlank="1" showInputMessage="1" showErrorMessage="1" sqref="H17 D20">
      <formula1>1</formula1>
      <formula2>20</formula2>
    </dataValidation>
  </dataValidations>
  <pageMargins left="0.7" right="0.7" top="0.75" bottom="0.75" header="0.3" footer="0.3"/>
  <pageSetup orientation="portrait" r:id="rId1"/>
  <ignoredErrors>
    <ignoredError sqref="G148 G156 D12" unlockedFormula="1"/>
    <ignoredError sqref="G157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62"/>
  <sheetViews>
    <sheetView workbookViewId="0"/>
  </sheetViews>
  <sheetFormatPr defaultColWidth="9.08984375" defaultRowHeight="14.5" x14ac:dyDescent="0.35"/>
  <cols>
    <col min="1" max="1" width="9.08984375" style="19"/>
    <col min="2" max="2" width="62.81640625" style="19" customWidth="1"/>
    <col min="3" max="3" width="11.54296875" style="19" bestFit="1" customWidth="1"/>
    <col min="4" max="4" width="12.08984375" style="19" customWidth="1"/>
    <col min="5" max="5" width="10.81640625" style="19" customWidth="1"/>
    <col min="6" max="6" width="9.08984375" style="19"/>
    <col min="7" max="7" width="31" style="19" bestFit="1" customWidth="1"/>
    <col min="8" max="8" width="29.81640625" style="19" bestFit="1" customWidth="1"/>
    <col min="9" max="9" width="17.08984375" style="19" customWidth="1"/>
    <col min="10" max="10" width="35" style="19" customWidth="1"/>
    <col min="11" max="11" width="11.08984375" style="19" bestFit="1" customWidth="1"/>
    <col min="12" max="12" width="12.1796875" style="19" customWidth="1"/>
    <col min="13" max="13" width="14.08984375" style="19" customWidth="1"/>
    <col min="14" max="14" width="9.54296875" style="19" customWidth="1"/>
    <col min="15" max="15" width="17" style="19" customWidth="1"/>
    <col min="16" max="16" width="11.54296875" style="19" customWidth="1"/>
    <col min="17" max="17" width="10.54296875" style="19" bestFit="1" customWidth="1"/>
    <col min="18" max="18" width="9.08984375" style="19"/>
    <col min="19" max="19" width="10.08984375" style="19" bestFit="1" customWidth="1"/>
    <col min="20" max="16384" width="9.08984375" style="19"/>
  </cols>
  <sheetData>
    <row r="1" spans="1:9" s="14" customFormat="1" x14ac:dyDescent="0.35">
      <c r="A1" s="14" t="s">
        <v>18</v>
      </c>
    </row>
    <row r="3" spans="1:9" x14ac:dyDescent="0.35">
      <c r="B3" s="10" t="s">
        <v>19</v>
      </c>
    </row>
    <row r="4" spans="1:9" x14ac:dyDescent="0.35">
      <c r="B4" s="15" t="s">
        <v>20</v>
      </c>
      <c r="C4" s="60">
        <f>Benefits_Interface!$G$147</f>
        <v>59.16</v>
      </c>
      <c r="D4" s="2"/>
    </row>
    <row r="5" spans="1:9" x14ac:dyDescent="0.35">
      <c r="B5" s="15" t="s">
        <v>21</v>
      </c>
      <c r="C5" s="59">
        <v>0.77</v>
      </c>
      <c r="D5" s="61" t="s">
        <v>22</v>
      </c>
    </row>
    <row r="6" spans="1:9" x14ac:dyDescent="0.35">
      <c r="B6" s="15" t="s">
        <v>23</v>
      </c>
      <c r="C6" s="59">
        <f>C4*C5</f>
        <v>45.553199999999997</v>
      </c>
      <c r="D6" s="56"/>
    </row>
    <row r="7" spans="1:9" x14ac:dyDescent="0.35">
      <c r="B7" s="15" t="s">
        <v>301</v>
      </c>
      <c r="C7" s="24">
        <f>SCC_Regression!B5*('GDP Implicit Price Deflator'!BU8/'GDP Implicit Price Deflator'!BK8)</f>
        <v>44.855918167279725</v>
      </c>
      <c r="D7" s="57"/>
      <c r="E7" s="20"/>
    </row>
    <row r="8" spans="1:9" x14ac:dyDescent="0.35">
      <c r="B8" s="15" t="s">
        <v>302</v>
      </c>
      <c r="C8" s="24">
        <f>SCC_Regression!C5*('GDP Implicit Price Deflator'!BU8/'GDP Implicit Price Deflator'!BT8)</f>
        <v>6.3905996264556055</v>
      </c>
      <c r="D8" s="57"/>
      <c r="E8" s="20"/>
    </row>
    <row r="9" spans="1:9" x14ac:dyDescent="0.35">
      <c r="B9" s="18" t="s">
        <v>304</v>
      </c>
      <c r="C9" s="112">
        <f>C7*C6</f>
        <v>2043.3306114577267</v>
      </c>
      <c r="D9" s="58"/>
      <c r="E9" s="21"/>
    </row>
    <row r="10" spans="1:9" x14ac:dyDescent="0.35">
      <c r="B10" s="28" t="s">
        <v>305</v>
      </c>
      <c r="C10" s="112">
        <f>C6*C8</f>
        <v>291.11226290385747</v>
      </c>
      <c r="D10" s="58"/>
      <c r="E10" s="21"/>
    </row>
    <row r="11" spans="1:9" x14ac:dyDescent="0.35">
      <c r="B11" s="2"/>
      <c r="C11" s="2"/>
      <c r="D11" s="58"/>
      <c r="E11" s="21"/>
    </row>
    <row r="12" spans="1:9" ht="16.5" customHeight="1" x14ac:dyDescent="0.35">
      <c r="B12" s="13" t="s">
        <v>368</v>
      </c>
      <c r="D12" s="52"/>
      <c r="E12" s="12"/>
      <c r="G12" s="10" t="s">
        <v>25</v>
      </c>
    </row>
    <row r="13" spans="1:9" x14ac:dyDescent="0.35">
      <c r="B13" s="28" t="s">
        <v>26</v>
      </c>
      <c r="C13" s="134">
        <f>Benefits_Interface!$G$148/2.59</f>
        <v>816.76284790788623</v>
      </c>
      <c r="D13" s="51"/>
      <c r="E13" s="47"/>
      <c r="G13" s="18" t="s">
        <v>27</v>
      </c>
      <c r="H13" s="18" t="s">
        <v>28</v>
      </c>
      <c r="I13" s="18" t="s">
        <v>371</v>
      </c>
    </row>
    <row r="14" spans="1:9" x14ac:dyDescent="0.35">
      <c r="B14" s="18" t="s">
        <v>29</v>
      </c>
      <c r="C14" s="135">
        <f>Benefits_Interface!$G$147</f>
        <v>59.16</v>
      </c>
      <c r="D14" s="47"/>
      <c r="G14" s="18" t="s">
        <v>30</v>
      </c>
      <c r="H14" s="18">
        <v>0.55000000000000004</v>
      </c>
      <c r="I14" s="18">
        <f>(H14/10^6)/$C$61</f>
        <v>2.2257799354308376E-3</v>
      </c>
    </row>
    <row r="15" spans="1:9" x14ac:dyDescent="0.35">
      <c r="B15" s="18" t="s">
        <v>31</v>
      </c>
      <c r="C15" s="136">
        <f>$C$14*I14</f>
        <v>0.13167714098008834</v>
      </c>
      <c r="G15" s="18" t="s">
        <v>32</v>
      </c>
      <c r="H15" s="18">
        <v>0.35</v>
      </c>
      <c r="I15" s="18">
        <f>(H15/10^6)/$C$61</f>
        <v>1.4164054134559875E-3</v>
      </c>
    </row>
    <row r="16" spans="1:9" ht="28.5" customHeight="1" x14ac:dyDescent="0.35">
      <c r="B16" s="18" t="s">
        <v>33</v>
      </c>
      <c r="C16" s="136">
        <f>$C$14*I15</f>
        <v>8.3794544260056211E-2</v>
      </c>
      <c r="D16" s="53"/>
      <c r="G16" s="18" t="s">
        <v>34</v>
      </c>
      <c r="H16" s="18">
        <v>5.49</v>
      </c>
      <c r="I16" s="18">
        <f>(H16/10^6)/$C$61</f>
        <v>2.2217330628209634E-2</v>
      </c>
    </row>
    <row r="17" spans="1:10" x14ac:dyDescent="0.35">
      <c r="B17" s="18" t="s">
        <v>35</v>
      </c>
      <c r="C17" s="136">
        <f>$C$14*I16</f>
        <v>1.3143772799648819</v>
      </c>
      <c r="D17" s="54"/>
      <c r="G17" s="18" t="s">
        <v>36</v>
      </c>
      <c r="H17" s="18">
        <v>0.27</v>
      </c>
      <c r="I17" s="18">
        <f>(H17/10^6)/$C$61</f>
        <v>1.0926556046660476E-3</v>
      </c>
    </row>
    <row r="18" spans="1:10" x14ac:dyDescent="0.35">
      <c r="B18" s="18" t="s">
        <v>37</v>
      </c>
      <c r="C18" s="136">
        <f>$C$14*I17</f>
        <v>6.4641505572043373E-2</v>
      </c>
      <c r="D18" s="55"/>
    </row>
    <row r="19" spans="1:10" x14ac:dyDescent="0.35">
      <c r="B19" s="18" t="s">
        <v>296</v>
      </c>
      <c r="C19" s="137">
        <f>(0.7298+(0.6264*C13))*C15*('GDP Implicit Price Deflator'!$BU$8/'GDP Implicit Price Deflator'!$BN$8)</f>
        <v>75.773731374370428</v>
      </c>
      <c r="D19" s="55"/>
      <c r="G19" s="10" t="s">
        <v>38</v>
      </c>
    </row>
    <row r="20" spans="1:10" ht="14.25" customHeight="1" x14ac:dyDescent="0.35">
      <c r="B20" s="18" t="s">
        <v>297</v>
      </c>
      <c r="C20" s="137">
        <f>(0.1442+(0.1493*C13))*C16*('GDP Implicit Price Deflator'!$BU$8/'GDP Implicit Price Deflator'!$BN$8)</f>
        <v>11.490165651300334</v>
      </c>
      <c r="D20" s="55"/>
      <c r="G20" s="18" t="s">
        <v>30</v>
      </c>
      <c r="H20" s="18" t="s">
        <v>39</v>
      </c>
      <c r="I20" s="12"/>
    </row>
    <row r="21" spans="1:10" x14ac:dyDescent="0.35">
      <c r="B21" s="18" t="s">
        <v>299</v>
      </c>
      <c r="C21" s="137">
        <f>(9.4667+(3.5089*C13))*C17*('GDP Implicit Price Deflator'!$BU$8/'GDP Implicit Price Deflator'!$BN$8)</f>
        <v>4244.8338983624508</v>
      </c>
      <c r="D21" s="55"/>
      <c r="G21" s="18" t="s">
        <v>32</v>
      </c>
      <c r="H21" s="18" t="s">
        <v>40</v>
      </c>
      <c r="I21" s="12"/>
    </row>
    <row r="22" spans="1:10" x14ac:dyDescent="0.35">
      <c r="B22" s="18" t="s">
        <v>298</v>
      </c>
      <c r="C22" s="137">
        <f>(428.0011+(121.7864*C13))*C18*('GDP Implicit Price Deflator'!$BU$8/'GDP Implicit Price Deflator'!$BN$8)</f>
        <v>7252.911934757798</v>
      </c>
      <c r="D22" s="50"/>
      <c r="G22" s="18" t="s">
        <v>34</v>
      </c>
      <c r="H22" s="18" t="s">
        <v>41</v>
      </c>
      <c r="I22" s="12"/>
    </row>
    <row r="23" spans="1:10" x14ac:dyDescent="0.35">
      <c r="B23" s="18" t="s">
        <v>42</v>
      </c>
      <c r="C23" s="91">
        <f>SUM(C19:C22)</f>
        <v>11585.009730145919</v>
      </c>
      <c r="D23" s="50"/>
      <c r="G23" s="18" t="s">
        <v>36</v>
      </c>
      <c r="H23" s="18" t="s">
        <v>43</v>
      </c>
      <c r="I23" s="49"/>
    </row>
    <row r="24" spans="1:10" x14ac:dyDescent="0.35">
      <c r="B24" s="2"/>
      <c r="C24" s="2"/>
      <c r="D24" s="58"/>
      <c r="E24" s="21"/>
    </row>
    <row r="25" spans="1:10" x14ac:dyDescent="0.35">
      <c r="B25" s="13" t="s">
        <v>24</v>
      </c>
      <c r="D25" s="58"/>
    </row>
    <row r="26" spans="1:10" x14ac:dyDescent="0.35">
      <c r="A26" s="12"/>
      <c r="B26" s="29" t="s">
        <v>231</v>
      </c>
      <c r="C26" s="131" t="s">
        <v>200</v>
      </c>
      <c r="J26" s="17"/>
    </row>
    <row r="27" spans="1:10" x14ac:dyDescent="0.35">
      <c r="A27" s="12"/>
      <c r="B27" s="66" t="s">
        <v>233</v>
      </c>
      <c r="C27" s="24">
        <f>'EnergySavings by State'!B20</f>
        <v>845.33370571104786</v>
      </c>
      <c r="J27" s="17"/>
    </row>
    <row r="28" spans="1:10" x14ac:dyDescent="0.35">
      <c r="B28" s="66" t="s">
        <v>234</v>
      </c>
      <c r="C28" s="132">
        <f>C27*('GDP Implicit Price Deflator'!BU8/'GDP Implicit Price Deflator'!BM8)</f>
        <v>960.50779824108645</v>
      </c>
      <c r="D28" s="2"/>
    </row>
    <row r="29" spans="1:10" x14ac:dyDescent="0.35">
      <c r="B29" s="18" t="s">
        <v>365</v>
      </c>
      <c r="C29" s="142">
        <f>Benefits_Interface!$G$152</f>
        <v>10</v>
      </c>
      <c r="D29" s="2"/>
    </row>
    <row r="30" spans="1:10" x14ac:dyDescent="0.35">
      <c r="B30" s="18" t="s">
        <v>366</v>
      </c>
      <c r="C30" s="133">
        <f>C29*(1/C60)</f>
        <v>4.0468726098742502</v>
      </c>
      <c r="D30" s="2"/>
    </row>
    <row r="31" spans="1:10" ht="16.5" customHeight="1" x14ac:dyDescent="0.35">
      <c r="B31" s="46" t="s">
        <v>303</v>
      </c>
      <c r="C31" s="91">
        <f>C30*C28</f>
        <v>3887.0527002724752</v>
      </c>
      <c r="D31" s="27"/>
    </row>
    <row r="32" spans="1:10" ht="15" customHeight="1" x14ac:dyDescent="0.35">
      <c r="B32" s="47"/>
      <c r="C32" s="47"/>
      <c r="D32" s="51"/>
      <c r="E32" s="12"/>
    </row>
    <row r="33" spans="2:9" x14ac:dyDescent="0.35">
      <c r="B33" s="13" t="s">
        <v>369</v>
      </c>
      <c r="C33" s="67"/>
      <c r="D33" s="50"/>
      <c r="G33" s="12"/>
      <c r="H33" s="12"/>
      <c r="I33" s="49"/>
    </row>
    <row r="34" spans="2:9" x14ac:dyDescent="0.35">
      <c r="B34" s="28" t="s">
        <v>231</v>
      </c>
      <c r="C34" s="134" t="s">
        <v>200</v>
      </c>
      <c r="D34" s="50"/>
      <c r="G34" s="12"/>
      <c r="H34" s="12"/>
      <c r="I34" s="49"/>
    </row>
    <row r="35" spans="2:9" x14ac:dyDescent="0.35">
      <c r="B35" s="18" t="s">
        <v>365</v>
      </c>
      <c r="C35" s="135">
        <f>Benefits_Interface!$G$152</f>
        <v>10</v>
      </c>
      <c r="D35" s="50"/>
      <c r="G35" s="12"/>
      <c r="H35" s="12"/>
      <c r="I35" s="49"/>
    </row>
    <row r="36" spans="2:9" x14ac:dyDescent="0.35">
      <c r="B36" s="18" t="s">
        <v>366</v>
      </c>
      <c r="C36" s="138">
        <f>C35*(1/C60)</f>
        <v>4.0468726098742502</v>
      </c>
      <c r="D36" s="50"/>
      <c r="G36" s="12"/>
      <c r="H36" s="12"/>
      <c r="I36" s="49"/>
    </row>
    <row r="37" spans="2:9" x14ac:dyDescent="0.35">
      <c r="B37" s="18" t="s">
        <v>362</v>
      </c>
      <c r="C37" s="136">
        <f>C36*AvoidedEmissions_UCTrees!I20*C62</f>
        <v>1.8524686957830924E-2</v>
      </c>
      <c r="D37" s="50"/>
      <c r="G37" s="12"/>
      <c r="H37" s="12"/>
      <c r="I37" s="49"/>
    </row>
    <row r="38" spans="2:9" x14ac:dyDescent="0.35">
      <c r="B38" s="18" t="s">
        <v>363</v>
      </c>
      <c r="C38" s="136">
        <f>C36*AvoidedEmissions_UCTrees!J20*C62</f>
        <v>0.19199310788916818</v>
      </c>
      <c r="D38" s="50"/>
      <c r="G38" s="12"/>
      <c r="H38" s="12"/>
      <c r="I38" s="49"/>
    </row>
    <row r="39" spans="2:9" x14ac:dyDescent="0.35">
      <c r="B39" s="18" t="s">
        <v>364</v>
      </c>
      <c r="C39" s="136">
        <f>C36*AvoidedEmissions_UCTrees!K20*C62</f>
        <v>3.4500306671167913E-3</v>
      </c>
      <c r="D39" s="50"/>
      <c r="G39" s="12"/>
      <c r="H39" s="12"/>
      <c r="I39" s="49"/>
    </row>
    <row r="40" spans="2:9" x14ac:dyDescent="0.35">
      <c r="B40" s="18"/>
      <c r="C40" s="92" t="s">
        <v>290</v>
      </c>
      <c r="D40" s="93" t="s">
        <v>291</v>
      </c>
      <c r="G40" s="12"/>
      <c r="H40" s="12"/>
      <c r="I40" s="49"/>
    </row>
    <row r="41" spans="2:9" x14ac:dyDescent="0.35">
      <c r="B41" s="28" t="s">
        <v>293</v>
      </c>
      <c r="C41" s="137">
        <f>C37*BenefitPerTon_Regression!D5</f>
        <v>111.52028814410659</v>
      </c>
      <c r="D41" s="137">
        <f>C37*BenefitPerTon_Regression!G5</f>
        <v>257.12934560655196</v>
      </c>
      <c r="G41" s="12"/>
      <c r="H41" s="12"/>
      <c r="I41" s="49"/>
    </row>
    <row r="42" spans="2:9" x14ac:dyDescent="0.35">
      <c r="B42" s="28" t="s">
        <v>294</v>
      </c>
      <c r="C42" s="137">
        <f>C38*BenefitPerTon_Regression!C5</f>
        <v>7765.5361335397265</v>
      </c>
      <c r="D42" s="137">
        <f>C38*BenefitPerTon_Regression!F5</f>
        <v>17732.708809013995</v>
      </c>
      <c r="G42" s="12"/>
      <c r="H42" s="12"/>
      <c r="I42" s="49"/>
    </row>
    <row r="43" spans="2:9" x14ac:dyDescent="0.35">
      <c r="B43" s="28" t="s">
        <v>295</v>
      </c>
      <c r="C43" s="137">
        <f>C39*BenefitPerTon_Regression!B5</f>
        <v>492.89490050072573</v>
      </c>
      <c r="D43" s="137">
        <f>C39*BenefitPerTon_Regression!E5</f>
        <v>1149.1016364177949</v>
      </c>
      <c r="G43" s="12"/>
      <c r="H43" s="12"/>
      <c r="I43" s="49"/>
    </row>
    <row r="44" spans="2:9" x14ac:dyDescent="0.35">
      <c r="B44" s="28" t="s">
        <v>296</v>
      </c>
      <c r="C44" s="137">
        <f>C41*('GDP Implicit Price Deflator'!$BU$8/'GDP Implicit Price Deflator'!$BS$8)</f>
        <v>114.88221153537124</v>
      </c>
      <c r="D44" s="137">
        <f>D41*('GDP Implicit Price Deflator'!$BU$8/'GDP Implicit Price Deflator'!$BS$8)</f>
        <v>264.88084245041057</v>
      </c>
      <c r="G44" s="12"/>
      <c r="H44" s="12"/>
      <c r="I44" s="49"/>
    </row>
    <row r="45" spans="2:9" x14ac:dyDescent="0.35">
      <c r="B45" s="28" t="s">
        <v>297</v>
      </c>
      <c r="C45" s="137">
        <f>C42*('GDP Implicit Price Deflator'!$BU$8/'GDP Implicit Price Deflator'!$BS$8)</f>
        <v>7999.6382687433452</v>
      </c>
      <c r="D45" s="137">
        <f>D42*('GDP Implicit Price Deflator'!$BU$8/'GDP Implicit Price Deflator'!$BS$8)</f>
        <v>18267.284261854227</v>
      </c>
      <c r="G45" s="12"/>
      <c r="H45" s="12"/>
      <c r="I45" s="49"/>
    </row>
    <row r="46" spans="2:9" x14ac:dyDescent="0.35">
      <c r="B46" s="28" t="s">
        <v>298</v>
      </c>
      <c r="C46" s="137">
        <f>C43*('GDP Implicit Price Deflator'!$BU$8/'GDP Implicit Price Deflator'!$BS$8)</f>
        <v>507.75385507307391</v>
      </c>
      <c r="D46" s="137">
        <f>D43*('GDP Implicit Price Deflator'!$BU$8/'GDP Implicit Price Deflator'!$BS$8)</f>
        <v>1183.7427921635679</v>
      </c>
      <c r="G46" s="12"/>
      <c r="H46" s="12"/>
      <c r="I46" s="49"/>
    </row>
    <row r="47" spans="2:9" x14ac:dyDescent="0.35">
      <c r="B47" s="28" t="s">
        <v>42</v>
      </c>
      <c r="C47" s="91">
        <f>SUM(C44:C46)</f>
        <v>8622.2743353517908</v>
      </c>
      <c r="D47" s="91">
        <f>SUM(D44:D46)</f>
        <v>19715.907896468205</v>
      </c>
    </row>
    <row r="48" spans="2:9" x14ac:dyDescent="0.35">
      <c r="B48" s="2"/>
      <c r="C48" s="140"/>
      <c r="D48" s="140"/>
    </row>
    <row r="49" spans="2:11" x14ac:dyDescent="0.35">
      <c r="B49" s="13" t="s">
        <v>370</v>
      </c>
      <c r="D49" s="140"/>
    </row>
    <row r="50" spans="2:11" x14ac:dyDescent="0.35">
      <c r="B50" s="28" t="s">
        <v>231</v>
      </c>
      <c r="C50" s="134" t="s">
        <v>200</v>
      </c>
      <c r="D50" s="140"/>
    </row>
    <row r="51" spans="2:11" x14ac:dyDescent="0.35">
      <c r="B51" s="18" t="s">
        <v>365</v>
      </c>
      <c r="C51" s="60">
        <f>Benefits_Interface!$G$152</f>
        <v>10</v>
      </c>
      <c r="D51" s="140"/>
    </row>
    <row r="52" spans="2:11" x14ac:dyDescent="0.35">
      <c r="B52" s="18" t="s">
        <v>366</v>
      </c>
      <c r="C52" s="138">
        <f>C51*(1/C60)</f>
        <v>4.0468726098742502</v>
      </c>
      <c r="D52" s="140"/>
    </row>
    <row r="53" spans="2:11" x14ac:dyDescent="0.35">
      <c r="B53" s="18" t="s">
        <v>367</v>
      </c>
      <c r="C53" s="59">
        <f>C52*AvoidedEmissions_UCTrees!L20</f>
        <v>23.025309676870734</v>
      </c>
      <c r="D53" s="140"/>
    </row>
    <row r="54" spans="2:11" x14ac:dyDescent="0.35">
      <c r="B54" s="15" t="s">
        <v>301</v>
      </c>
      <c r="C54" s="24">
        <f>SCC_Regression!B5*('GDP Implicit Price Deflator'!BU8/'GDP Implicit Price Deflator'!BK8)</f>
        <v>44.855918167279725</v>
      </c>
      <c r="D54" s="140"/>
    </row>
    <row r="55" spans="2:11" x14ac:dyDescent="0.35">
      <c r="B55" s="15" t="s">
        <v>302</v>
      </c>
      <c r="C55" s="24">
        <f>SCC_Regression!C5*('GDP Implicit Price Deflator'!BU8/'GDP Implicit Price Deflator'!BT8)</f>
        <v>6.3905996264556055</v>
      </c>
      <c r="D55" s="140"/>
    </row>
    <row r="56" spans="2:11" x14ac:dyDescent="0.35">
      <c r="B56" s="18" t="s">
        <v>304</v>
      </c>
      <c r="C56" s="112">
        <f>C54*C53</f>
        <v>1032.8214066419876</v>
      </c>
      <c r="D56" s="140"/>
    </row>
    <row r="57" spans="2:11" x14ac:dyDescent="0.35">
      <c r="B57" s="28" t="s">
        <v>305</v>
      </c>
      <c r="C57" s="112">
        <f>C53*C55</f>
        <v>147.14553542003475</v>
      </c>
      <c r="D57" s="140"/>
    </row>
    <row r="58" spans="2:11" x14ac:dyDescent="0.35">
      <c r="B58" s="2"/>
      <c r="C58" s="140"/>
      <c r="D58" s="140"/>
    </row>
    <row r="59" spans="2:11" x14ac:dyDescent="0.35">
      <c r="B59" s="2"/>
      <c r="C59" s="140"/>
      <c r="D59" s="140"/>
    </row>
    <row r="60" spans="2:11" x14ac:dyDescent="0.35">
      <c r="B60" s="19" t="s">
        <v>44</v>
      </c>
      <c r="C60" s="19">
        <v>2.4710439304662799</v>
      </c>
      <c r="D60" s="51"/>
      <c r="I60" s="11"/>
    </row>
    <row r="61" spans="2:11" x14ac:dyDescent="0.35">
      <c r="B61" s="4" t="s">
        <v>45</v>
      </c>
      <c r="C61" s="19">
        <v>2.4710439304662801E-4</v>
      </c>
      <c r="K61" s="8"/>
    </row>
    <row r="62" spans="2:11" x14ac:dyDescent="0.35">
      <c r="B62" s="2" t="s">
        <v>292</v>
      </c>
      <c r="C62">
        <v>1.1023000000000001</v>
      </c>
    </row>
  </sheetData>
  <hyperlinks>
    <hyperlink ref="D5" r:id="rId1" location="_ftn1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7"/>
  <sheetViews>
    <sheetView workbookViewId="0"/>
  </sheetViews>
  <sheetFormatPr defaultColWidth="9.08984375" defaultRowHeight="14.5" x14ac:dyDescent="0.35"/>
  <cols>
    <col min="1" max="1" width="62.54296875" style="19" bestFit="1" customWidth="1"/>
    <col min="2" max="2" width="15.453125" style="19" customWidth="1"/>
    <col min="3" max="3" width="14.08984375" style="19" customWidth="1"/>
    <col min="4" max="4" width="11" style="1" customWidth="1"/>
    <col min="5" max="5" width="25" style="19" customWidth="1"/>
    <col min="6" max="9" width="20.1796875" style="19" bestFit="1" customWidth="1"/>
    <col min="10" max="10" width="18.36328125" style="19" customWidth="1"/>
    <col min="11" max="11" width="15.08984375" style="19" customWidth="1"/>
    <col min="12" max="12" width="11.1796875" style="19" customWidth="1"/>
    <col min="13" max="13" width="10" style="19" customWidth="1"/>
    <col min="14" max="14" width="14.81640625" style="19" customWidth="1"/>
    <col min="15" max="15" width="8.1796875" style="19" customWidth="1"/>
    <col min="16" max="16" width="7.54296875" style="19" bestFit="1" customWidth="1"/>
    <col min="17" max="16384" width="9.08984375" style="19"/>
  </cols>
  <sheetData>
    <row r="1" spans="1:16" x14ac:dyDescent="0.35">
      <c r="A1" s="10" t="s">
        <v>46</v>
      </c>
      <c r="E1" s="10" t="s">
        <v>330</v>
      </c>
    </row>
    <row r="2" spans="1:16" x14ac:dyDescent="0.35">
      <c r="A2" s="18" t="s">
        <v>47</v>
      </c>
      <c r="B2" s="103">
        <f>Benefits_Interface!$G$153</f>
        <v>100000</v>
      </c>
      <c r="E2" s="108" t="s">
        <v>10</v>
      </c>
      <c r="F2" s="108" t="s">
        <v>48</v>
      </c>
      <c r="G2" s="108" t="s">
        <v>49</v>
      </c>
      <c r="H2" s="108" t="s">
        <v>50</v>
      </c>
      <c r="I2" s="108" t="s">
        <v>51</v>
      </c>
    </row>
    <row r="3" spans="1:16" x14ac:dyDescent="0.35">
      <c r="A3" s="18" t="s">
        <v>52</v>
      </c>
      <c r="B3" s="103">
        <f>B2/1000</f>
        <v>100</v>
      </c>
      <c r="C3" s="22"/>
      <c r="E3" s="28" t="s">
        <v>53</v>
      </c>
      <c r="F3" s="130">
        <f>AVERT_2017!E29</f>
        <v>0.28309122537265902</v>
      </c>
      <c r="G3" s="130">
        <f>AVERT_2017!K16</f>
        <v>0.43103012510669703</v>
      </c>
      <c r="H3" s="130">
        <f>AVERT_2017!E16*0.0005</f>
        <v>0.57013693872728743</v>
      </c>
      <c r="I3" s="130">
        <f>AVERT_2017!K29</f>
        <v>4.5166520502734703E-2</v>
      </c>
      <c r="J3" s="32"/>
      <c r="K3" s="32"/>
      <c r="L3" s="32"/>
      <c r="M3" s="2"/>
      <c r="N3" s="2"/>
      <c r="O3" s="2"/>
      <c r="P3" s="2"/>
    </row>
    <row r="4" spans="1:16" ht="15" customHeight="1" x14ac:dyDescent="0.35">
      <c r="C4" s="22"/>
      <c r="E4" s="28" t="s">
        <v>54</v>
      </c>
      <c r="F4" s="130">
        <f>AVERT_2017!E30</f>
        <v>1.2549787840850701</v>
      </c>
      <c r="G4" s="130">
        <f>AVERT_2017!K17</f>
        <v>0.98590615073606291</v>
      </c>
      <c r="H4" s="130">
        <f>AVERT_2017!E17*0.0005</f>
        <v>0.85447029800999219</v>
      </c>
      <c r="I4" s="130">
        <f>AVERT_2017!K30</f>
        <v>0.21038508533316702</v>
      </c>
      <c r="J4" s="39"/>
      <c r="K4" s="39"/>
      <c r="L4" s="39"/>
      <c r="M4" s="322"/>
      <c r="N4" s="322"/>
      <c r="O4" s="322"/>
      <c r="P4" s="322"/>
    </row>
    <row r="5" spans="1:16" x14ac:dyDescent="0.35">
      <c r="A5" s="10" t="s">
        <v>55</v>
      </c>
      <c r="C5" s="22"/>
      <c r="E5" s="28" t="s">
        <v>56</v>
      </c>
      <c r="F5" s="130">
        <f>AVERT_2017!E31</f>
        <v>0.788492001199248</v>
      </c>
      <c r="G5" s="130">
        <f>AVERT_2017!K18</f>
        <v>0.93052642990953249</v>
      </c>
      <c r="H5" s="130">
        <f>AVERT_2017!E18*0.0005</f>
        <v>0.76703788068093992</v>
      </c>
      <c r="I5" s="130">
        <f>AVERT_2017!K31</f>
        <v>0.10451385980316499</v>
      </c>
      <c r="J5" s="39"/>
      <c r="K5" s="39"/>
      <c r="L5" s="39"/>
      <c r="M5" s="322"/>
      <c r="N5" s="322"/>
      <c r="O5" s="322"/>
      <c r="P5" s="322"/>
    </row>
    <row r="6" spans="1:16" x14ac:dyDescent="0.35">
      <c r="A6" s="18" t="s">
        <v>57</v>
      </c>
      <c r="B6" s="103">
        <f>$B$3*INDEX(F$3:F$12,MATCH(Benefits_Interface!$G$154,'Green Roof Benefit'!$E$3:$E$12,0))</f>
        <v>125.49787840850701</v>
      </c>
      <c r="C6" s="48"/>
      <c r="E6" s="28" t="s">
        <v>60</v>
      </c>
      <c r="F6" s="130">
        <f>AVERT_2017!E32</f>
        <v>1.8776048387896001</v>
      </c>
      <c r="G6" s="130">
        <f>AVERT_2017!K19</f>
        <v>1.202439471233435</v>
      </c>
      <c r="H6" s="130">
        <f>AVERT_2017!E19*0.0005</f>
        <v>0.92757905597601154</v>
      </c>
      <c r="I6" s="130">
        <f>AVERT_2017!K32</f>
        <v>9.891248930513985E-2</v>
      </c>
      <c r="J6" s="33"/>
      <c r="K6" s="33"/>
      <c r="L6" s="33"/>
      <c r="M6" s="34"/>
      <c r="N6" s="34"/>
      <c r="O6" s="34"/>
      <c r="P6" s="34"/>
    </row>
    <row r="7" spans="1:16" x14ac:dyDescent="0.35">
      <c r="A7" s="18" t="s">
        <v>59</v>
      </c>
      <c r="B7" s="103">
        <f>$B$3*INDEX(G$3:G$12,MATCH(Benefits_Interface!$G$154,'Green Roof Benefit'!$E$3:$E$12,0))</f>
        <v>98.590615073606287</v>
      </c>
      <c r="C7" s="22"/>
      <c r="E7" s="28" t="s">
        <v>58</v>
      </c>
      <c r="F7" s="130">
        <f>AVERT_2017!E33</f>
        <v>2.02860038682077</v>
      </c>
      <c r="G7" s="130">
        <f>AVERT_2017!K20</f>
        <v>1.3807234878788051</v>
      </c>
      <c r="H7" s="130">
        <f>AVERT_2017!E20*0.0005</f>
        <v>1.0045022619890651</v>
      </c>
      <c r="I7" s="130">
        <f>AVERT_2017!K33</f>
        <v>9.855173382644114E-2</v>
      </c>
      <c r="J7" s="35"/>
      <c r="K7" s="35"/>
      <c r="L7" s="35"/>
      <c r="M7" s="36"/>
      <c r="N7" s="36"/>
      <c r="O7" s="36"/>
      <c r="P7" s="36"/>
    </row>
    <row r="8" spans="1:16" x14ac:dyDescent="0.35">
      <c r="A8" s="18" t="s">
        <v>61</v>
      </c>
      <c r="B8" s="103">
        <f>$B$3*INDEX(H$3:H$12,MATCH(Benefits_Interface!$G$154,'Green Roof Benefit'!$E$3:$E$12,0))</f>
        <v>85.447029800999218</v>
      </c>
      <c r="C8" s="23"/>
      <c r="E8" s="28" t="s">
        <v>63</v>
      </c>
      <c r="F8" s="130">
        <f>AVERT_2017!E34</f>
        <v>0.60044089608265905</v>
      </c>
      <c r="G8" s="130">
        <f>AVERT_2017!K21</f>
        <v>1.42313617262887</v>
      </c>
      <c r="H8" s="130">
        <f>AVERT_2017!E21*0.0005</f>
        <v>0.86893085056215547</v>
      </c>
      <c r="I8" s="130">
        <f>AVERT_2017!K34</f>
        <v>3.6387188497506745E-2</v>
      </c>
      <c r="J8" s="37"/>
      <c r="K8" s="37"/>
      <c r="L8" s="37"/>
      <c r="M8" s="38"/>
      <c r="N8" s="38"/>
      <c r="O8" s="38"/>
      <c r="P8" s="38"/>
    </row>
    <row r="9" spans="1:16" x14ac:dyDescent="0.35">
      <c r="A9" s="28" t="s">
        <v>62</v>
      </c>
      <c r="B9" s="103">
        <f>$B$3*INDEX(I$3:I$12,MATCH(Benefits_Interface!$G$154,'Green Roof Benefit'!$E$3:$E$12,0))</f>
        <v>21.038508533316701</v>
      </c>
      <c r="C9" s="22"/>
      <c r="E9" s="28" t="s">
        <v>15</v>
      </c>
      <c r="F9" s="130">
        <f>AVERT_2017!E35</f>
        <v>1.3172687069506199</v>
      </c>
      <c r="G9" s="130">
        <f>AVERT_2017!K22</f>
        <v>0.65331796964456301</v>
      </c>
      <c r="H9" s="130">
        <f>AVERT_2017!E22*0.0005</f>
        <v>0.69755844427000091</v>
      </c>
      <c r="I9" s="130">
        <f>AVERT_2017!K35</f>
        <v>7.633690172792984E-2</v>
      </c>
    </row>
    <row r="10" spans="1:16" x14ac:dyDescent="0.35">
      <c r="C10" s="22"/>
      <c r="E10" s="28" t="s">
        <v>64</v>
      </c>
      <c r="F10" s="130">
        <f>AVERT_2017!E36</f>
        <v>0.2431762626984065</v>
      </c>
      <c r="G10" s="130">
        <f>AVERT_2017!K23</f>
        <v>0.98662668042475943</v>
      </c>
      <c r="H10" s="130">
        <f>AVERT_2017!E23*0.0005</f>
        <v>0.68242104085324151</v>
      </c>
      <c r="I10" s="130">
        <f>AVERT_2017!K36</f>
        <v>7.5400756039452455E-2</v>
      </c>
    </row>
    <row r="11" spans="1:16" x14ac:dyDescent="0.35">
      <c r="A11" s="10" t="s">
        <v>65</v>
      </c>
      <c r="B11" s="90" t="s">
        <v>290</v>
      </c>
      <c r="C11" s="99" t="s">
        <v>291</v>
      </c>
      <c r="E11" s="28" t="s">
        <v>66</v>
      </c>
      <c r="F11" s="130">
        <f>AVERT_2017!E37</f>
        <v>0.92228926104787101</v>
      </c>
      <c r="G11" s="130">
        <f>AVERT_2017!K24</f>
        <v>1.2921949161865052</v>
      </c>
      <c r="H11" s="130">
        <f>AVERT_2017!E24*0.0005</f>
        <v>0.84841216433678301</v>
      </c>
      <c r="I11" s="130">
        <f>AVERT_2017!K37</f>
        <v>8.775666425259375E-2</v>
      </c>
    </row>
    <row r="12" spans="1:16" x14ac:dyDescent="0.35">
      <c r="A12" s="18" t="s">
        <v>325</v>
      </c>
      <c r="B12" s="102">
        <f>B6*$B$30*BenefitPerTon_Regression!C5*('GDP Implicit Price Deflator'!BU8/'GDP Implicit Price Deflator'!BS8)</f>
        <v>2614.514765140254</v>
      </c>
      <c r="C12" s="110">
        <f>B6*$B$30*BenefitPerTon_Regression!F5*('GDP Implicit Price Deflator'!BU8/'GDP Implicit Price Deflator'!BS8)</f>
        <v>5970.2805073378204</v>
      </c>
      <c r="E12" s="28" t="s">
        <v>67</v>
      </c>
      <c r="F12" s="130">
        <f>AVERT_2017!E38</f>
        <v>7.7862708857230345E-2</v>
      </c>
      <c r="G12" s="130">
        <f>AVERT_2017!K25</f>
        <v>0.34487416228586054</v>
      </c>
      <c r="H12" s="130">
        <f>AVERT_2017!E25*0.0005</f>
        <v>0.563690917079954</v>
      </c>
      <c r="I12" s="130">
        <f>AVERT_2017!K38</f>
        <v>4.8109721685088105E-2</v>
      </c>
    </row>
    <row r="13" spans="1:16" x14ac:dyDescent="0.35">
      <c r="A13" s="18" t="s">
        <v>326</v>
      </c>
      <c r="B13" s="102">
        <f>B7*$B$30*BenefitPerTon_Regression!D5*('GDP Implicit Price Deflator'!BU8/'GDP Implicit Price Deflator'!BS8)</f>
        <v>305.70848301165057</v>
      </c>
      <c r="C13" s="110">
        <f>B7*$B$30*BenefitPerTon_Regression!G5*('GDP Implicit Price Deflator'!BU8/'GDP Implicit Price Deflator'!BS8)</f>
        <v>704.86387267563271</v>
      </c>
    </row>
    <row r="14" spans="1:16" x14ac:dyDescent="0.35">
      <c r="A14" s="28" t="s">
        <v>327</v>
      </c>
      <c r="B14" s="102">
        <f>B9*$B$30*BenefitPerTon_Regression!B5*('GDP Implicit Price Deflator'!BU8/'GDP Implicit Price Deflator'!BS8)</f>
        <v>1548.1578054647614</v>
      </c>
      <c r="C14" s="110">
        <f>B9*$B$30*BenefitPerTon_Regression!E5*('GDP Implicit Price Deflator'!BU8/'GDP Implicit Price Deflator'!BS8)</f>
        <v>3609.2697771579401</v>
      </c>
      <c r="E14" s="104"/>
      <c r="F14" s="2"/>
      <c r="G14" s="2"/>
      <c r="H14" s="2"/>
      <c r="I14" s="2"/>
      <c r="J14" s="2"/>
    </row>
    <row r="15" spans="1:16" ht="15" thickBot="1" x14ac:dyDescent="0.4">
      <c r="A15" s="30" t="s">
        <v>68</v>
      </c>
      <c r="B15" s="31">
        <f>SUM(B13+B14+B12)</f>
        <v>4468.3810536166657</v>
      </c>
      <c r="C15" s="107">
        <f>SUM(C12:C14)</f>
        <v>10284.414157171394</v>
      </c>
      <c r="E15" s="2"/>
      <c r="F15" s="43"/>
      <c r="G15" s="2"/>
      <c r="H15" s="2"/>
      <c r="I15" s="2"/>
      <c r="J15" s="2"/>
    </row>
    <row r="16" spans="1:16" ht="15" thickTop="1" x14ac:dyDescent="0.35">
      <c r="E16" s="32"/>
      <c r="F16" s="105"/>
      <c r="G16" s="105"/>
      <c r="H16" s="2"/>
      <c r="I16" s="105"/>
      <c r="J16" s="105"/>
    </row>
    <row r="17" spans="1:10" x14ac:dyDescent="0.35">
      <c r="A17" s="10" t="s">
        <v>69</v>
      </c>
      <c r="C17" s="2"/>
      <c r="E17" s="32"/>
      <c r="F17" s="105"/>
      <c r="G17" s="105"/>
      <c r="H17" s="2"/>
      <c r="I17" s="105"/>
      <c r="J17" s="105"/>
    </row>
    <row r="18" spans="1:10" x14ac:dyDescent="0.35">
      <c r="A18" s="15" t="s">
        <v>301</v>
      </c>
      <c r="B18" s="24">
        <f>SCC_Regression!B5*('GDP Implicit Price Deflator'!BU8/'GDP Implicit Price Deflator'!BK8)</f>
        <v>44.855918167279725</v>
      </c>
      <c r="C18" s="42"/>
      <c r="E18" s="32"/>
      <c r="F18" s="106"/>
      <c r="G18" s="105"/>
      <c r="H18" s="2"/>
      <c r="I18" s="105"/>
      <c r="J18" s="105"/>
    </row>
    <row r="19" spans="1:10" x14ac:dyDescent="0.35">
      <c r="A19" s="15" t="s">
        <v>302</v>
      </c>
      <c r="B19" s="24">
        <f>SCC_Regression!C5*('GDP Implicit Price Deflator'!BU8/'GDP Implicit Price Deflator'!BT8)</f>
        <v>6.3905996264556055</v>
      </c>
      <c r="C19" s="2"/>
    </row>
    <row r="20" spans="1:10" x14ac:dyDescent="0.35">
      <c r="A20" s="18" t="s">
        <v>304</v>
      </c>
      <c r="B20" s="112">
        <f>B8*B32*B18</f>
        <v>3477.0631825070268</v>
      </c>
      <c r="C20" s="43"/>
    </row>
    <row r="21" spans="1:10" x14ac:dyDescent="0.35">
      <c r="A21" s="28" t="s">
        <v>305</v>
      </c>
      <c r="B21" s="113">
        <f>B8*B32*B19</f>
        <v>495.37540603729667</v>
      </c>
      <c r="C21" s="43"/>
    </row>
    <row r="22" spans="1:10" x14ac:dyDescent="0.35">
      <c r="D22" s="19"/>
    </row>
    <row r="23" spans="1:10" x14ac:dyDescent="0.35">
      <c r="A23" s="13" t="s">
        <v>328</v>
      </c>
      <c r="D23" s="19"/>
    </row>
    <row r="24" spans="1:10" x14ac:dyDescent="0.35">
      <c r="A24" s="29" t="s">
        <v>231</v>
      </c>
      <c r="B24" s="101" t="s">
        <v>200</v>
      </c>
      <c r="D24" s="19"/>
    </row>
    <row r="25" spans="1:10" x14ac:dyDescent="0.35">
      <c r="A25" s="29" t="s">
        <v>503</v>
      </c>
      <c r="B25" s="111">
        <f>ElectricityPriceByState!R38</f>
        <v>13.96</v>
      </c>
      <c r="D25" s="19"/>
    </row>
    <row r="26" spans="1:10" x14ac:dyDescent="0.35">
      <c r="A26" s="29" t="s">
        <v>504</v>
      </c>
      <c r="B26" s="111">
        <f>B25*(1/100)*1000</f>
        <v>139.6</v>
      </c>
      <c r="D26" s="19"/>
    </row>
    <row r="27" spans="1:10" x14ac:dyDescent="0.35">
      <c r="A27" s="108" t="s">
        <v>505</v>
      </c>
      <c r="B27" s="109">
        <f>B3*B26</f>
        <v>13960</v>
      </c>
      <c r="D27" s="19"/>
    </row>
    <row r="28" spans="1:10" x14ac:dyDescent="0.35">
      <c r="D28" s="19"/>
    </row>
    <row r="29" spans="1:10" ht="14.5" customHeight="1" x14ac:dyDescent="0.35">
      <c r="B29" s="11"/>
    </row>
    <row r="30" spans="1:10" x14ac:dyDescent="0.35">
      <c r="A30" s="19" t="s">
        <v>71</v>
      </c>
      <c r="B30" s="19">
        <v>5.0000000000000001E-4</v>
      </c>
    </row>
    <row r="31" spans="1:10" x14ac:dyDescent="0.35">
      <c r="A31" s="19" t="s">
        <v>72</v>
      </c>
      <c r="B31" s="19">
        <v>907184.74</v>
      </c>
    </row>
    <row r="32" spans="1:10" x14ac:dyDescent="0.35">
      <c r="A32" s="63" t="s">
        <v>73</v>
      </c>
      <c r="B32" s="19">
        <v>0.90718500000000002</v>
      </c>
    </row>
    <row r="33" spans="1:9" x14ac:dyDescent="0.35">
      <c r="A33" s="2"/>
      <c r="E33" s="1"/>
      <c r="F33" s="25"/>
      <c r="G33" s="26"/>
      <c r="H33" s="25"/>
      <c r="I33" s="16"/>
    </row>
    <row r="34" spans="1:9" x14ac:dyDescent="0.35">
      <c r="A34" s="9"/>
      <c r="E34" s="12"/>
      <c r="F34" s="25"/>
      <c r="G34" s="26"/>
      <c r="H34" s="12"/>
    </row>
    <row r="35" spans="1:9" x14ac:dyDescent="0.35">
      <c r="A35" s="9"/>
      <c r="E35" s="12"/>
      <c r="F35" s="25"/>
      <c r="G35" s="26"/>
      <c r="H35" s="12"/>
    </row>
    <row r="36" spans="1:9" x14ac:dyDescent="0.35">
      <c r="E36" s="12"/>
      <c r="F36" s="25"/>
      <c r="G36" s="26"/>
      <c r="H36" s="12"/>
    </row>
    <row r="37" spans="1:9" x14ac:dyDescent="0.35">
      <c r="E37" s="62"/>
    </row>
  </sheetData>
  <mergeCells count="2">
    <mergeCell ref="M4:P4"/>
    <mergeCell ref="M5:P5"/>
  </mergeCells>
  <pageMargins left="0.7" right="0.7" top="0.75" bottom="0.75" header="0.3" footer="0.3"/>
  <pageSetup orientation="portrait" horizontalDpi="90" verticalDpi="9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3"/>
  <sheetViews>
    <sheetView zoomScaleNormal="100" workbookViewId="0">
      <pane ySplit="1" topLeftCell="A2" activePane="bottomLeft" state="frozen"/>
      <selection pane="bottomLeft" activeCell="B14" sqref="B14"/>
    </sheetView>
  </sheetViews>
  <sheetFormatPr defaultColWidth="9.08984375" defaultRowHeight="14.5" x14ac:dyDescent="0.35"/>
  <cols>
    <col min="1" max="1" width="17.81640625" style="19" customWidth="1"/>
    <col min="2" max="2" width="19.81640625" style="64" customWidth="1"/>
    <col min="3" max="4" width="18.08984375" style="19" customWidth="1"/>
    <col min="5" max="16384" width="9.08984375" style="19"/>
  </cols>
  <sheetData>
    <row r="1" spans="1:2" s="68" customFormat="1" ht="43.5" x14ac:dyDescent="0.35">
      <c r="A1" s="68" t="s">
        <v>182</v>
      </c>
      <c r="B1" s="69" t="s">
        <v>232</v>
      </c>
    </row>
    <row r="2" spans="1:2" x14ac:dyDescent="0.35">
      <c r="A2" s="19" t="s">
        <v>183</v>
      </c>
      <c r="B2" s="64">
        <v>204.79328030026295</v>
      </c>
    </row>
    <row r="3" spans="1:2" x14ac:dyDescent="0.35">
      <c r="A3" s="19" t="s">
        <v>184</v>
      </c>
      <c r="B3" s="64">
        <v>263.21213460639615</v>
      </c>
    </row>
    <row r="4" spans="1:2" x14ac:dyDescent="0.35">
      <c r="A4" s="19" t="s">
        <v>185</v>
      </c>
      <c r="B4" s="64">
        <v>692.10025693720843</v>
      </c>
    </row>
    <row r="5" spans="1:2" x14ac:dyDescent="0.35">
      <c r="A5" s="19" t="s">
        <v>67</v>
      </c>
      <c r="B5" s="64">
        <v>407.99730384889978</v>
      </c>
    </row>
    <row r="6" spans="1:2" x14ac:dyDescent="0.35">
      <c r="A6" s="19" t="s">
        <v>186</v>
      </c>
      <c r="B6" s="64">
        <v>148.4335766526533</v>
      </c>
    </row>
    <row r="7" spans="1:2" x14ac:dyDescent="0.35">
      <c r="A7" s="19" t="s">
        <v>187</v>
      </c>
      <c r="B7" s="64">
        <v>402.20514793396421</v>
      </c>
    </row>
    <row r="8" spans="1:2" x14ac:dyDescent="0.35">
      <c r="A8" s="19" t="s">
        <v>188</v>
      </c>
      <c r="B8" s="64">
        <v>1811.4282245615602</v>
      </c>
    </row>
    <row r="9" spans="1:2" x14ac:dyDescent="0.35">
      <c r="A9" s="19" t="s">
        <v>189</v>
      </c>
      <c r="B9" s="64">
        <v>1183.1739727516524</v>
      </c>
    </row>
    <row r="10" spans="1:2" x14ac:dyDescent="0.35">
      <c r="A10" s="19" t="s">
        <v>190</v>
      </c>
      <c r="B10" s="64">
        <v>627.75152643371541</v>
      </c>
    </row>
    <row r="11" spans="1:2" x14ac:dyDescent="0.35">
      <c r="A11" s="19" t="s">
        <v>191</v>
      </c>
      <c r="B11" s="64">
        <v>169.95786661218278</v>
      </c>
    </row>
    <row r="12" spans="1:2" x14ac:dyDescent="0.35">
      <c r="A12" s="19" t="s">
        <v>192</v>
      </c>
      <c r="B12" s="64">
        <v>891.55440684689552</v>
      </c>
    </row>
    <row r="13" spans="1:2" x14ac:dyDescent="0.35">
      <c r="A13" s="19" t="s">
        <v>193</v>
      </c>
      <c r="B13" s="64">
        <v>1293.9352953878326</v>
      </c>
    </row>
    <row r="14" spans="1:2" x14ac:dyDescent="0.35">
      <c r="A14" s="19" t="s">
        <v>194</v>
      </c>
      <c r="B14" s="64">
        <v>880.30032354591117</v>
      </c>
    </row>
    <row r="15" spans="1:2" x14ac:dyDescent="0.35">
      <c r="A15" s="19" t="s">
        <v>195</v>
      </c>
      <c r="B15" s="64">
        <v>765.91680339969173</v>
      </c>
    </row>
    <row r="16" spans="1:2" x14ac:dyDescent="0.35">
      <c r="A16" s="19" t="s">
        <v>196</v>
      </c>
      <c r="B16" s="64">
        <v>1392.6143498204858</v>
      </c>
    </row>
    <row r="17" spans="1:2" x14ac:dyDescent="0.35">
      <c r="A17" s="19" t="s">
        <v>197</v>
      </c>
      <c r="B17" s="64">
        <v>863.56141109965051</v>
      </c>
    </row>
    <row r="18" spans="1:2" x14ac:dyDescent="0.35">
      <c r="A18" s="19" t="s">
        <v>198</v>
      </c>
      <c r="B18" s="64">
        <v>618.27307304805709</v>
      </c>
    </row>
    <row r="19" spans="1:2" x14ac:dyDescent="0.35">
      <c r="A19" s="19" t="s">
        <v>199</v>
      </c>
      <c r="B19" s="64">
        <v>433.31361274188896</v>
      </c>
    </row>
    <row r="20" spans="1:2" x14ac:dyDescent="0.35">
      <c r="A20" s="19" t="s">
        <v>200</v>
      </c>
      <c r="B20" s="64">
        <v>845.33370571104786</v>
      </c>
    </row>
    <row r="21" spans="1:2" x14ac:dyDescent="0.35">
      <c r="A21" s="19" t="s">
        <v>201</v>
      </c>
      <c r="B21" s="64">
        <v>248.4854138848728</v>
      </c>
    </row>
    <row r="22" spans="1:2" x14ac:dyDescent="0.35">
      <c r="A22" s="19" t="s">
        <v>202</v>
      </c>
      <c r="B22" s="64">
        <v>584.33901470867102</v>
      </c>
    </row>
    <row r="23" spans="1:2" x14ac:dyDescent="0.35">
      <c r="A23" s="19" t="s">
        <v>203</v>
      </c>
      <c r="B23" s="64">
        <v>314.52791749876963</v>
      </c>
    </row>
    <row r="24" spans="1:2" x14ac:dyDescent="0.35">
      <c r="A24" s="19" t="s">
        <v>204</v>
      </c>
      <c r="B24" s="64">
        <v>841.97678802189989</v>
      </c>
    </row>
    <row r="25" spans="1:2" x14ac:dyDescent="0.35">
      <c r="A25" s="19" t="s">
        <v>205</v>
      </c>
      <c r="B25" s="64">
        <v>299.98767986783639</v>
      </c>
    </row>
    <row r="26" spans="1:2" x14ac:dyDescent="0.35">
      <c r="A26" s="19" t="s">
        <v>206</v>
      </c>
      <c r="B26" s="64">
        <v>123.01385978585242</v>
      </c>
    </row>
    <row r="27" spans="1:2" x14ac:dyDescent="0.35">
      <c r="A27" s="19" t="s">
        <v>207</v>
      </c>
      <c r="B27" s="64">
        <v>240.41320364190423</v>
      </c>
    </row>
    <row r="28" spans="1:2" x14ac:dyDescent="0.35">
      <c r="A28" s="19" t="s">
        <v>208</v>
      </c>
      <c r="B28" s="64">
        <v>563.03707013806263</v>
      </c>
    </row>
    <row r="29" spans="1:2" x14ac:dyDescent="0.35">
      <c r="A29" s="19" t="s">
        <v>209</v>
      </c>
      <c r="B29" s="64">
        <v>1270.4324349896597</v>
      </c>
    </row>
    <row r="30" spans="1:2" x14ac:dyDescent="0.35">
      <c r="A30" s="19" t="s">
        <v>210</v>
      </c>
      <c r="B30" s="64">
        <v>155.60627702142202</v>
      </c>
    </row>
    <row r="31" spans="1:2" x14ac:dyDescent="0.35">
      <c r="A31" s="19" t="s">
        <v>211</v>
      </c>
      <c r="B31" s="64">
        <v>626.52690798920037</v>
      </c>
    </row>
    <row r="32" spans="1:2" x14ac:dyDescent="0.35">
      <c r="A32" s="19" t="s">
        <v>212</v>
      </c>
      <c r="B32" s="64">
        <v>556.74781499901269</v>
      </c>
    </row>
    <row r="33" spans="1:2" x14ac:dyDescent="0.35">
      <c r="A33" s="19" t="s">
        <v>213</v>
      </c>
      <c r="B33" s="64">
        <v>855.85757232850438</v>
      </c>
    </row>
    <row r="34" spans="1:2" x14ac:dyDescent="0.35">
      <c r="A34" s="19" t="s">
        <v>214</v>
      </c>
      <c r="B34" s="64">
        <v>667.92903294038103</v>
      </c>
    </row>
    <row r="35" spans="1:2" x14ac:dyDescent="0.35">
      <c r="A35" s="19" t="s">
        <v>215</v>
      </c>
      <c r="B35" s="64">
        <v>728.31894574242801</v>
      </c>
    </row>
    <row r="36" spans="1:2" x14ac:dyDescent="0.35">
      <c r="A36" s="19" t="s">
        <v>216</v>
      </c>
      <c r="B36" s="64">
        <v>215.24156754655229</v>
      </c>
    </row>
    <row r="37" spans="1:2" x14ac:dyDescent="0.35">
      <c r="A37" s="19" t="s">
        <v>217</v>
      </c>
      <c r="B37" s="64">
        <v>242.27440100078223</v>
      </c>
    </row>
    <row r="38" spans="1:2" x14ac:dyDescent="0.35">
      <c r="A38" s="19" t="s">
        <v>218</v>
      </c>
      <c r="B38" s="64">
        <v>582.65567093619939</v>
      </c>
    </row>
    <row r="39" spans="1:2" x14ac:dyDescent="0.35">
      <c r="A39" s="19" t="s">
        <v>219</v>
      </c>
      <c r="B39" s="64">
        <v>698.53151086830746</v>
      </c>
    </row>
    <row r="40" spans="1:2" x14ac:dyDescent="0.35">
      <c r="A40" s="19" t="s">
        <v>220</v>
      </c>
      <c r="B40" s="64">
        <v>249.53149597976096</v>
      </c>
    </row>
    <row r="41" spans="1:2" x14ac:dyDescent="0.35">
      <c r="A41" s="19" t="s">
        <v>221</v>
      </c>
      <c r="B41" s="64">
        <v>591.69483066762712</v>
      </c>
    </row>
    <row r="42" spans="1:2" x14ac:dyDescent="0.35">
      <c r="A42" s="19" t="s">
        <v>222</v>
      </c>
      <c r="B42" s="64">
        <v>270.42416071411901</v>
      </c>
    </row>
    <row r="43" spans="1:2" x14ac:dyDescent="0.35">
      <c r="A43" s="19" t="s">
        <v>15</v>
      </c>
      <c r="B43" s="64">
        <v>508.22022100118016</v>
      </c>
    </row>
    <row r="44" spans="1:2" x14ac:dyDescent="0.35">
      <c r="A44" s="19" t="s">
        <v>223</v>
      </c>
      <c r="B44" s="64">
        <v>549.94516823918514</v>
      </c>
    </row>
    <row r="45" spans="1:2" x14ac:dyDescent="0.35">
      <c r="A45" s="19" t="s">
        <v>224</v>
      </c>
      <c r="B45" s="64">
        <v>366.07101473976229</v>
      </c>
    </row>
    <row r="46" spans="1:2" x14ac:dyDescent="0.35">
      <c r="A46" s="19" t="s">
        <v>225</v>
      </c>
      <c r="B46" s="64">
        <v>409.20343188180937</v>
      </c>
    </row>
    <row r="47" spans="1:2" x14ac:dyDescent="0.35">
      <c r="A47" s="19" t="s">
        <v>226</v>
      </c>
      <c r="B47" s="64">
        <v>258.45658657575967</v>
      </c>
    </row>
    <row r="48" spans="1:2" x14ac:dyDescent="0.35">
      <c r="A48" s="19" t="s">
        <v>227</v>
      </c>
      <c r="B48" s="64">
        <v>606.12546652815161</v>
      </c>
    </row>
    <row r="49" spans="1:2" x14ac:dyDescent="0.35">
      <c r="A49" s="19" t="s">
        <v>228</v>
      </c>
      <c r="B49" s="64">
        <v>258.99920962470497</v>
      </c>
    </row>
    <row r="50" spans="1:2" x14ac:dyDescent="0.35">
      <c r="A50" s="19" t="s">
        <v>229</v>
      </c>
      <c r="B50" s="64">
        <v>218.02954902863354</v>
      </c>
    </row>
    <row r="51" spans="1:2" x14ac:dyDescent="0.35">
      <c r="A51" s="19" t="s">
        <v>230</v>
      </c>
      <c r="B51" s="64">
        <v>455.31017276957874</v>
      </c>
    </row>
    <row r="53" spans="1:2" x14ac:dyDescent="0.35">
      <c r="A53" s="19" t="s">
        <v>353</v>
      </c>
    </row>
  </sheetData>
  <pageMargins left="0.7" right="0.7" top="0.75" bottom="0.75" header="0.3" footer="0.3"/>
  <pageSetup orientation="portrait" verticalDpi="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2"/>
  <sheetViews>
    <sheetView workbookViewId="0">
      <pane ySplit="2" topLeftCell="A3" activePane="bottomLeft" state="frozen"/>
      <selection pane="bottomLeft" activeCell="J4" sqref="J4"/>
    </sheetView>
  </sheetViews>
  <sheetFormatPr defaultColWidth="9.08984375" defaultRowHeight="13" x14ac:dyDescent="0.35"/>
  <cols>
    <col min="1" max="5" width="11.36328125" style="71" customWidth="1"/>
    <col min="6" max="6" width="15.81640625" style="71" customWidth="1"/>
    <col min="7" max="8" width="9.08984375" style="71"/>
    <col min="9" max="11" width="10.81640625" style="71" customWidth="1"/>
    <col min="12" max="16384" width="9.08984375" style="71"/>
  </cols>
  <sheetData>
    <row r="1" spans="1:12" ht="28.5" customHeight="1" x14ac:dyDescent="0.35">
      <c r="A1" s="323" t="s">
        <v>235</v>
      </c>
      <c r="B1" s="323"/>
      <c r="C1" s="323"/>
      <c r="D1" s="323"/>
      <c r="E1" s="323"/>
      <c r="F1" s="70" t="s">
        <v>236</v>
      </c>
      <c r="H1" s="323" t="s">
        <v>237</v>
      </c>
      <c r="I1" s="323"/>
      <c r="J1" s="323"/>
      <c r="K1" s="323"/>
      <c r="L1" s="323"/>
    </row>
    <row r="2" spans="1:12" x14ac:dyDescent="0.35">
      <c r="A2" s="72" t="s">
        <v>238</v>
      </c>
      <c r="B2" s="73" t="s">
        <v>70</v>
      </c>
      <c r="C2" s="73" t="s">
        <v>32</v>
      </c>
      <c r="D2" s="73" t="s">
        <v>36</v>
      </c>
      <c r="E2" s="73" t="s">
        <v>361</v>
      </c>
      <c r="F2" s="74" t="s">
        <v>239</v>
      </c>
      <c r="H2" s="72" t="s">
        <v>238</v>
      </c>
      <c r="I2" s="73" t="s">
        <v>70</v>
      </c>
      <c r="J2" s="73" t="s">
        <v>32</v>
      </c>
      <c r="K2" s="73" t="s">
        <v>36</v>
      </c>
      <c r="L2" s="94" t="s">
        <v>361</v>
      </c>
    </row>
    <row r="3" spans="1:12" x14ac:dyDescent="0.35">
      <c r="A3" s="75" t="s">
        <v>240</v>
      </c>
      <c r="B3" s="76">
        <v>593</v>
      </c>
      <c r="C3" s="76">
        <v>3164</v>
      </c>
      <c r="D3" s="76">
        <v>225</v>
      </c>
      <c r="E3" s="78">
        <v>833000</v>
      </c>
      <c r="F3" s="77">
        <v>701000</v>
      </c>
      <c r="H3" s="75" t="s">
        <v>240</v>
      </c>
      <c r="I3" s="71">
        <f>B3/F3</f>
        <v>8.4593437945791725E-4</v>
      </c>
      <c r="J3" s="71">
        <f>C3/F3</f>
        <v>4.5135520684736093E-3</v>
      </c>
      <c r="K3" s="71">
        <f>D3/F3</f>
        <v>3.2097004279600568E-4</v>
      </c>
      <c r="L3" s="71">
        <f>E3/F3</f>
        <v>1.18830242510699</v>
      </c>
    </row>
    <row r="4" spans="1:12" x14ac:dyDescent="0.35">
      <c r="A4" s="75" t="s">
        <v>241</v>
      </c>
      <c r="B4" s="76">
        <v>614</v>
      </c>
      <c r="C4" s="76">
        <v>1244</v>
      </c>
      <c r="D4" s="76">
        <v>16</v>
      </c>
      <c r="E4" s="78">
        <v>549000</v>
      </c>
      <c r="F4" s="77">
        <v>259000</v>
      </c>
      <c r="H4" s="75" t="s">
        <v>241</v>
      </c>
      <c r="I4" s="71">
        <f t="shared" ref="I4:I49" si="0">B4/F4</f>
        <v>2.3706563706563707E-3</v>
      </c>
      <c r="J4" s="71">
        <f t="shared" ref="J4:J50" si="1">C4/F4</f>
        <v>4.8030888030888034E-3</v>
      </c>
      <c r="K4" s="71">
        <f t="shared" ref="K4:K49" si="2">D4/F4</f>
        <v>6.1776061776061777E-5</v>
      </c>
      <c r="L4" s="71">
        <f t="shared" ref="L4:L49" si="3">E4/F4</f>
        <v>2.1196911196911197</v>
      </c>
    </row>
    <row r="5" spans="1:12" x14ac:dyDescent="0.35">
      <c r="A5" s="75" t="s">
        <v>242</v>
      </c>
      <c r="B5" s="76">
        <v>1356</v>
      </c>
      <c r="C5" s="76">
        <v>742</v>
      </c>
      <c r="D5" s="76">
        <v>70</v>
      </c>
      <c r="E5" s="78">
        <v>1237000</v>
      </c>
      <c r="F5" s="77">
        <v>277000</v>
      </c>
      <c r="H5" s="75" t="s">
        <v>242</v>
      </c>
      <c r="I5" s="71">
        <f t="shared" si="0"/>
        <v>4.8953068592057763E-3</v>
      </c>
      <c r="J5" s="71">
        <f t="shared" si="1"/>
        <v>2.6787003610108302E-3</v>
      </c>
      <c r="K5" s="71">
        <f t="shared" si="2"/>
        <v>2.527075812274368E-4</v>
      </c>
      <c r="L5" s="71">
        <f t="shared" si="3"/>
        <v>4.465703971119134</v>
      </c>
    </row>
    <row r="6" spans="1:12" x14ac:dyDescent="0.35">
      <c r="A6" s="75" t="s">
        <v>243</v>
      </c>
      <c r="B6" s="76">
        <v>262</v>
      </c>
      <c r="C6" s="76">
        <v>184</v>
      </c>
      <c r="D6" s="76">
        <v>390</v>
      </c>
      <c r="E6" s="78">
        <v>728000</v>
      </c>
      <c r="F6" s="77">
        <v>870000</v>
      </c>
      <c r="H6" s="75" t="s">
        <v>243</v>
      </c>
      <c r="I6" s="71">
        <f t="shared" si="0"/>
        <v>3.0114942528735634E-4</v>
      </c>
      <c r="J6" s="71">
        <f t="shared" si="1"/>
        <v>2.1149425287356321E-4</v>
      </c>
      <c r="K6" s="71">
        <f t="shared" si="2"/>
        <v>4.4827586206896552E-4</v>
      </c>
      <c r="L6" s="71">
        <f t="shared" si="3"/>
        <v>0.83678160919540234</v>
      </c>
    </row>
    <row r="7" spans="1:12" x14ac:dyDescent="0.35">
      <c r="A7" s="75" t="s">
        <v>244</v>
      </c>
      <c r="B7" s="76">
        <v>249</v>
      </c>
      <c r="C7" s="76">
        <v>187</v>
      </c>
      <c r="D7" s="76">
        <v>3</v>
      </c>
      <c r="E7" s="78">
        <v>171000</v>
      </c>
      <c r="F7" s="77">
        <v>130000</v>
      </c>
      <c r="H7" s="75" t="s">
        <v>244</v>
      </c>
      <c r="I7" s="71">
        <f t="shared" si="0"/>
        <v>1.9153846153846155E-3</v>
      </c>
      <c r="J7" s="71">
        <f t="shared" si="1"/>
        <v>1.4384615384615384E-3</v>
      </c>
      <c r="K7" s="71">
        <f t="shared" si="2"/>
        <v>2.3076923076923076E-5</v>
      </c>
      <c r="L7" s="71">
        <f t="shared" si="3"/>
        <v>1.3153846153846154</v>
      </c>
    </row>
    <row r="8" spans="1:12" x14ac:dyDescent="0.35">
      <c r="A8" s="75" t="s">
        <v>245</v>
      </c>
      <c r="B8" s="76">
        <v>201</v>
      </c>
      <c r="C8" s="76">
        <v>207</v>
      </c>
      <c r="D8" s="76">
        <v>56</v>
      </c>
      <c r="E8" s="78">
        <v>318000</v>
      </c>
      <c r="F8" s="77">
        <v>337000</v>
      </c>
      <c r="H8" s="75" t="s">
        <v>245</v>
      </c>
      <c r="I8" s="71">
        <f t="shared" si="0"/>
        <v>5.9643916913946593E-4</v>
      </c>
      <c r="J8" s="71">
        <f t="shared" si="1"/>
        <v>6.1424332344213646E-4</v>
      </c>
      <c r="K8" s="71">
        <f t="shared" si="2"/>
        <v>1.6617210682492583E-4</v>
      </c>
      <c r="L8" s="71">
        <f t="shared" si="3"/>
        <v>0.94362017804154308</v>
      </c>
    </row>
    <row r="9" spans="1:12" x14ac:dyDescent="0.35">
      <c r="A9" s="75" t="s">
        <v>246</v>
      </c>
      <c r="B9" s="76">
        <v>333</v>
      </c>
      <c r="C9" s="76">
        <v>1167</v>
      </c>
      <c r="D9" s="76">
        <v>39</v>
      </c>
      <c r="E9" s="78">
        <v>292000</v>
      </c>
      <c r="F9" s="77">
        <v>32000</v>
      </c>
      <c r="H9" s="75" t="s">
        <v>246</v>
      </c>
      <c r="I9" s="71">
        <f t="shared" si="0"/>
        <v>1.0406250000000001E-2</v>
      </c>
      <c r="J9" s="71">
        <f t="shared" si="1"/>
        <v>3.6468750000000001E-2</v>
      </c>
      <c r="K9" s="71">
        <f t="shared" si="2"/>
        <v>1.21875E-3</v>
      </c>
      <c r="L9" s="71">
        <f t="shared" si="3"/>
        <v>9.125</v>
      </c>
    </row>
    <row r="10" spans="1:12" s="98" customFormat="1" x14ac:dyDescent="0.35">
      <c r="A10" s="95" t="s">
        <v>247</v>
      </c>
      <c r="B10" s="96">
        <v>2709</v>
      </c>
      <c r="C10" s="96">
        <v>5810</v>
      </c>
      <c r="D10" s="96">
        <v>769</v>
      </c>
      <c r="E10" s="78">
        <v>3157000</v>
      </c>
      <c r="F10" s="97">
        <v>813000</v>
      </c>
      <c r="H10" s="95" t="s">
        <v>247</v>
      </c>
      <c r="I10" s="71">
        <f t="shared" si="0"/>
        <v>3.3321033210332103E-3</v>
      </c>
      <c r="J10" s="71">
        <f t="shared" si="1"/>
        <v>7.1463714637146373E-3</v>
      </c>
      <c r="K10" s="71">
        <f t="shared" si="2"/>
        <v>9.4587945879458799E-4</v>
      </c>
      <c r="L10" s="71">
        <f t="shared" si="3"/>
        <v>3.8831488314883149</v>
      </c>
    </row>
    <row r="11" spans="1:12" x14ac:dyDescent="0.35">
      <c r="A11" s="75" t="s">
        <v>248</v>
      </c>
      <c r="B11" s="76">
        <v>780</v>
      </c>
      <c r="C11" s="76">
        <v>3520</v>
      </c>
      <c r="D11" s="76">
        <v>322</v>
      </c>
      <c r="E11" s="78">
        <v>1052000</v>
      </c>
      <c r="F11" s="77">
        <v>781000</v>
      </c>
      <c r="H11" s="75" t="s">
        <v>248</v>
      </c>
      <c r="I11" s="71">
        <f t="shared" si="0"/>
        <v>9.9871959026888598E-4</v>
      </c>
      <c r="J11" s="71">
        <f t="shared" si="1"/>
        <v>4.507042253521127E-3</v>
      </c>
      <c r="K11" s="71">
        <f t="shared" si="2"/>
        <v>4.1229193341869397E-4</v>
      </c>
      <c r="L11" s="71">
        <f t="shared" si="3"/>
        <v>1.3469910371318823</v>
      </c>
    </row>
    <row r="12" spans="1:12" x14ac:dyDescent="0.35">
      <c r="A12" s="75" t="s">
        <v>249</v>
      </c>
      <c r="B12" s="76">
        <v>1229</v>
      </c>
      <c r="C12" s="76">
        <v>2838</v>
      </c>
      <c r="D12" s="76">
        <v>5</v>
      </c>
      <c r="E12" s="78">
        <v>1231000</v>
      </c>
      <c r="F12" s="77">
        <v>100000</v>
      </c>
      <c r="H12" s="75" t="s">
        <v>249</v>
      </c>
      <c r="I12" s="71">
        <f t="shared" si="0"/>
        <v>1.2290000000000001E-2</v>
      </c>
      <c r="J12" s="71">
        <f t="shared" si="1"/>
        <v>2.8379999999999999E-2</v>
      </c>
      <c r="K12" s="71">
        <f t="shared" si="2"/>
        <v>5.0000000000000002E-5</v>
      </c>
      <c r="L12" s="71">
        <f t="shared" si="3"/>
        <v>12.31</v>
      </c>
    </row>
    <row r="13" spans="1:12" x14ac:dyDescent="0.35">
      <c r="A13" s="75" t="s">
        <v>250</v>
      </c>
      <c r="B13" s="76">
        <v>101</v>
      </c>
      <c r="C13" s="76">
        <v>154</v>
      </c>
      <c r="D13" s="76">
        <v>11</v>
      </c>
      <c r="E13" s="78">
        <v>109000</v>
      </c>
      <c r="F13" s="77">
        <v>18000</v>
      </c>
      <c r="H13" s="75" t="s">
        <v>250</v>
      </c>
      <c r="I13" s="71">
        <f t="shared" si="0"/>
        <v>5.611111111111111E-3</v>
      </c>
      <c r="J13" s="71">
        <f t="shared" si="1"/>
        <v>8.5555555555555558E-3</v>
      </c>
      <c r="K13" s="71">
        <f t="shared" si="2"/>
        <v>6.111111111111111E-4</v>
      </c>
      <c r="L13" s="71">
        <f t="shared" si="3"/>
        <v>6.0555555555555554</v>
      </c>
    </row>
    <row r="14" spans="1:12" x14ac:dyDescent="0.35">
      <c r="A14" s="75" t="s">
        <v>251</v>
      </c>
      <c r="B14" s="76">
        <v>1695</v>
      </c>
      <c r="C14" s="76">
        <v>5534</v>
      </c>
      <c r="D14" s="76">
        <v>14</v>
      </c>
      <c r="E14" s="78">
        <v>2387000</v>
      </c>
      <c r="F14" s="77">
        <v>317000</v>
      </c>
      <c r="H14" s="75" t="s">
        <v>251</v>
      </c>
      <c r="I14" s="71">
        <f t="shared" si="0"/>
        <v>5.3470031545741325E-3</v>
      </c>
      <c r="J14" s="71">
        <f t="shared" si="1"/>
        <v>1.7457413249211358E-2</v>
      </c>
      <c r="K14" s="71">
        <f t="shared" si="2"/>
        <v>4.4164037854889592E-5</v>
      </c>
      <c r="L14" s="71">
        <f t="shared" si="3"/>
        <v>7.5299684542586753</v>
      </c>
    </row>
    <row r="15" spans="1:12" x14ac:dyDescent="0.35">
      <c r="A15" s="75" t="s">
        <v>252</v>
      </c>
      <c r="B15" s="76">
        <v>1288</v>
      </c>
      <c r="C15" s="76">
        <v>4723</v>
      </c>
      <c r="D15" s="76">
        <v>38</v>
      </c>
      <c r="E15" s="78">
        <v>1339000</v>
      </c>
      <c r="F15" s="77">
        <v>178000</v>
      </c>
      <c r="H15" s="75" t="s">
        <v>252</v>
      </c>
      <c r="I15" s="71">
        <f t="shared" si="0"/>
        <v>7.2359550561797749E-3</v>
      </c>
      <c r="J15" s="71">
        <f t="shared" si="1"/>
        <v>2.6533707865168538E-2</v>
      </c>
      <c r="K15" s="71">
        <f t="shared" si="2"/>
        <v>2.1348314606741572E-4</v>
      </c>
      <c r="L15" s="71">
        <f t="shared" si="3"/>
        <v>7.5224719101123592</v>
      </c>
    </row>
    <row r="16" spans="1:12" x14ac:dyDescent="0.35">
      <c r="A16" s="75" t="s">
        <v>253</v>
      </c>
      <c r="B16" s="76">
        <v>1512</v>
      </c>
      <c r="C16" s="76">
        <v>1584</v>
      </c>
      <c r="D16" s="76">
        <v>10</v>
      </c>
      <c r="E16" s="78">
        <v>1200000</v>
      </c>
      <c r="F16" s="77">
        <v>95000</v>
      </c>
      <c r="H16" s="75" t="s">
        <v>253</v>
      </c>
      <c r="I16" s="71">
        <f t="shared" si="0"/>
        <v>1.591578947368421E-2</v>
      </c>
      <c r="J16" s="71">
        <f t="shared" si="1"/>
        <v>1.6673684210526316E-2</v>
      </c>
      <c r="K16" s="71">
        <f t="shared" si="2"/>
        <v>1.0526315789473685E-4</v>
      </c>
      <c r="L16" s="71">
        <f t="shared" si="3"/>
        <v>12.631578947368421</v>
      </c>
    </row>
    <row r="17" spans="1:12" x14ac:dyDescent="0.35">
      <c r="A17" s="75" t="s">
        <v>254</v>
      </c>
      <c r="B17" s="76">
        <v>939</v>
      </c>
      <c r="C17" s="76">
        <v>2997</v>
      </c>
      <c r="D17" s="76">
        <v>72</v>
      </c>
      <c r="E17" s="78">
        <v>1101000</v>
      </c>
      <c r="F17" s="77">
        <v>117000</v>
      </c>
      <c r="H17" s="75" t="s">
        <v>254</v>
      </c>
      <c r="I17" s="71">
        <f t="shared" si="0"/>
        <v>8.0256410256410258E-3</v>
      </c>
      <c r="J17" s="71">
        <f t="shared" si="1"/>
        <v>2.5615384615384616E-2</v>
      </c>
      <c r="K17" s="71">
        <f t="shared" si="2"/>
        <v>6.1538461538461541E-4</v>
      </c>
      <c r="L17" s="71">
        <f t="shared" si="3"/>
        <v>9.4102564102564106</v>
      </c>
    </row>
    <row r="18" spans="1:12" x14ac:dyDescent="0.35">
      <c r="A18" s="75" t="s">
        <v>255</v>
      </c>
      <c r="B18" s="76">
        <v>1208</v>
      </c>
      <c r="C18" s="76">
        <v>1894</v>
      </c>
      <c r="D18" s="76">
        <v>227</v>
      </c>
      <c r="E18" s="78">
        <v>1128000</v>
      </c>
      <c r="F18" s="77">
        <v>265000</v>
      </c>
      <c r="H18" s="75" t="s">
        <v>255</v>
      </c>
      <c r="I18" s="71">
        <f t="shared" si="0"/>
        <v>4.5584905660377359E-3</v>
      </c>
      <c r="J18" s="71">
        <f t="shared" si="1"/>
        <v>7.1471698113207546E-3</v>
      </c>
      <c r="K18" s="71">
        <f t="shared" si="2"/>
        <v>8.5660377358490571E-4</v>
      </c>
      <c r="L18" s="71">
        <f t="shared" si="3"/>
        <v>4.2566037735849056</v>
      </c>
    </row>
    <row r="19" spans="1:12" x14ac:dyDescent="0.35">
      <c r="A19" s="75" t="s">
        <v>256</v>
      </c>
      <c r="B19" s="76">
        <v>733</v>
      </c>
      <c r="C19" s="76">
        <v>1881</v>
      </c>
      <c r="D19" s="76">
        <v>110</v>
      </c>
      <c r="E19" s="78">
        <v>1017000</v>
      </c>
      <c r="F19" s="77">
        <v>534000</v>
      </c>
      <c r="H19" s="75" t="s">
        <v>256</v>
      </c>
      <c r="I19" s="71">
        <f t="shared" si="0"/>
        <v>1.3726591760299626E-3</v>
      </c>
      <c r="J19" s="71">
        <f t="shared" si="1"/>
        <v>3.5224719101123597E-3</v>
      </c>
      <c r="K19" s="71">
        <f t="shared" si="2"/>
        <v>2.0599250936329587E-4</v>
      </c>
      <c r="L19" s="71">
        <f t="shared" si="3"/>
        <v>1.904494382022472</v>
      </c>
    </row>
    <row r="20" spans="1:12" s="88" customFormat="1" x14ac:dyDescent="0.35">
      <c r="A20" s="85" t="s">
        <v>257</v>
      </c>
      <c r="B20" s="86">
        <v>843</v>
      </c>
      <c r="C20" s="86">
        <v>8737</v>
      </c>
      <c r="D20" s="86">
        <v>157</v>
      </c>
      <c r="E20" s="141">
        <v>1155000</v>
      </c>
      <c r="F20" s="87">
        <v>203000</v>
      </c>
      <c r="H20" s="85" t="s">
        <v>257</v>
      </c>
      <c r="I20" s="88">
        <f t="shared" si="0"/>
        <v>4.1527093596059111E-3</v>
      </c>
      <c r="J20" s="88">
        <f t="shared" si="1"/>
        <v>4.3039408866995074E-2</v>
      </c>
      <c r="K20" s="88">
        <f>D20/F20</f>
        <v>7.7339901477832507E-4</v>
      </c>
      <c r="L20" s="88">
        <f>E20/F20</f>
        <v>5.6896551724137927</v>
      </c>
    </row>
    <row r="21" spans="1:12" x14ac:dyDescent="0.35">
      <c r="A21" s="75" t="s">
        <v>258</v>
      </c>
      <c r="B21" s="76">
        <v>108</v>
      </c>
      <c r="C21" s="76">
        <v>119</v>
      </c>
      <c r="D21" s="76">
        <v>85</v>
      </c>
      <c r="E21" s="78">
        <v>94000</v>
      </c>
      <c r="F21" s="77">
        <v>176000</v>
      </c>
      <c r="H21" s="75" t="s">
        <v>258</v>
      </c>
      <c r="I21" s="71">
        <f t="shared" si="0"/>
        <v>6.1363636363636362E-4</v>
      </c>
      <c r="J21" s="71">
        <f t="shared" si="1"/>
        <v>6.7613636363636368E-4</v>
      </c>
      <c r="K21" s="71">
        <f t="shared" si="2"/>
        <v>4.8295454545454547E-4</v>
      </c>
      <c r="L21" s="71">
        <f t="shared" si="3"/>
        <v>0.53409090909090906</v>
      </c>
    </row>
    <row r="22" spans="1:12" x14ac:dyDescent="0.35">
      <c r="A22" s="75" t="s">
        <v>259</v>
      </c>
      <c r="B22" s="76">
        <v>1969</v>
      </c>
      <c r="C22" s="76">
        <v>6456</v>
      </c>
      <c r="D22" s="76">
        <v>49</v>
      </c>
      <c r="E22" s="78">
        <v>1754000</v>
      </c>
      <c r="F22" s="77">
        <v>376000</v>
      </c>
      <c r="H22" s="75" t="s">
        <v>259</v>
      </c>
      <c r="I22" s="71">
        <f t="shared" si="0"/>
        <v>5.2367021276595741E-3</v>
      </c>
      <c r="J22" s="71">
        <f t="shared" si="1"/>
        <v>1.7170212765957447E-2</v>
      </c>
      <c r="K22" s="71">
        <f t="shared" si="2"/>
        <v>1.3031914893617022E-4</v>
      </c>
      <c r="L22" s="71">
        <f t="shared" si="3"/>
        <v>4.6648936170212769</v>
      </c>
    </row>
    <row r="23" spans="1:12" x14ac:dyDescent="0.35">
      <c r="A23" s="75" t="s">
        <v>260</v>
      </c>
      <c r="B23" s="76">
        <v>1300</v>
      </c>
      <c r="C23" s="76">
        <v>1632</v>
      </c>
      <c r="D23" s="76">
        <v>33</v>
      </c>
      <c r="E23" s="78">
        <v>1077000</v>
      </c>
      <c r="F23" s="77">
        <v>361000</v>
      </c>
      <c r="H23" s="75" t="s">
        <v>260</v>
      </c>
      <c r="I23" s="71">
        <f t="shared" si="0"/>
        <v>3.6011080332409972E-3</v>
      </c>
      <c r="J23" s="71">
        <f t="shared" si="1"/>
        <v>4.5207756232686983E-3</v>
      </c>
      <c r="K23" s="71">
        <f t="shared" si="2"/>
        <v>9.1412742382271473E-5</v>
      </c>
      <c r="L23" s="71">
        <f t="shared" si="3"/>
        <v>2.9833795013850417</v>
      </c>
    </row>
    <row r="24" spans="1:12" x14ac:dyDescent="0.35">
      <c r="A24" s="75" t="s">
        <v>261</v>
      </c>
      <c r="B24" s="76">
        <v>1382</v>
      </c>
      <c r="C24" s="76">
        <v>6137</v>
      </c>
      <c r="D24" s="76">
        <v>28</v>
      </c>
      <c r="E24" s="78">
        <v>1939000</v>
      </c>
      <c r="F24" s="77">
        <v>263000</v>
      </c>
      <c r="H24" s="75" t="s">
        <v>261</v>
      </c>
      <c r="I24" s="71">
        <f t="shared" si="0"/>
        <v>5.2547528517110269E-3</v>
      </c>
      <c r="J24" s="71">
        <f t="shared" si="1"/>
        <v>2.3334600760456275E-2</v>
      </c>
      <c r="K24" s="71">
        <f t="shared" si="2"/>
        <v>1.064638783269962E-4</v>
      </c>
      <c r="L24" s="71">
        <f t="shared" si="3"/>
        <v>7.3726235741444865</v>
      </c>
    </row>
    <row r="25" spans="1:12" x14ac:dyDescent="0.35">
      <c r="A25" s="75" t="s">
        <v>262</v>
      </c>
      <c r="B25" s="76">
        <v>556</v>
      </c>
      <c r="C25" s="76">
        <v>858</v>
      </c>
      <c r="D25" s="76">
        <v>127</v>
      </c>
      <c r="E25" s="78">
        <v>540000</v>
      </c>
      <c r="F25" s="77">
        <v>268000</v>
      </c>
      <c r="H25" s="75" t="s">
        <v>262</v>
      </c>
      <c r="I25" s="71">
        <f t="shared" si="0"/>
        <v>2.074626865671642E-3</v>
      </c>
      <c r="J25" s="71">
        <f t="shared" si="1"/>
        <v>3.2014925373134327E-3</v>
      </c>
      <c r="K25" s="71">
        <f t="shared" si="2"/>
        <v>4.7388059701492538E-4</v>
      </c>
      <c r="L25" s="71">
        <f t="shared" si="3"/>
        <v>2.0149253731343282</v>
      </c>
    </row>
    <row r="26" spans="1:12" x14ac:dyDescent="0.35">
      <c r="A26" s="75" t="s">
        <v>263</v>
      </c>
      <c r="B26" s="76">
        <v>487</v>
      </c>
      <c r="C26" s="76">
        <v>772</v>
      </c>
      <c r="D26" s="76">
        <v>23</v>
      </c>
      <c r="E26" s="78">
        <v>429000</v>
      </c>
      <c r="F26" s="77">
        <v>279000</v>
      </c>
      <c r="H26" s="75" t="s">
        <v>263</v>
      </c>
      <c r="I26" s="71">
        <f t="shared" si="0"/>
        <v>1.7455197132616488E-3</v>
      </c>
      <c r="J26" s="71">
        <f t="shared" si="1"/>
        <v>2.7670250896057349E-3</v>
      </c>
      <c r="K26" s="71">
        <f t="shared" si="2"/>
        <v>8.2437275985663085E-5</v>
      </c>
      <c r="L26" s="71">
        <f t="shared" si="3"/>
        <v>1.5376344086021505</v>
      </c>
    </row>
    <row r="27" spans="1:12" x14ac:dyDescent="0.35">
      <c r="A27" s="75" t="s">
        <v>264</v>
      </c>
      <c r="B27" s="76">
        <v>755</v>
      </c>
      <c r="C27" s="76">
        <v>2046</v>
      </c>
      <c r="D27" s="76">
        <v>284</v>
      </c>
      <c r="E27" s="78">
        <v>1201000</v>
      </c>
      <c r="F27" s="77">
        <v>663000</v>
      </c>
      <c r="H27" s="75" t="s">
        <v>264</v>
      </c>
      <c r="I27" s="71">
        <f t="shared" si="0"/>
        <v>1.138763197586727E-3</v>
      </c>
      <c r="J27" s="71">
        <f t="shared" si="1"/>
        <v>3.0859728506787329E-3</v>
      </c>
      <c r="K27" s="71">
        <f t="shared" si="2"/>
        <v>4.283559577677225E-4</v>
      </c>
      <c r="L27" s="71">
        <f t="shared" si="3"/>
        <v>1.8114630467571644</v>
      </c>
    </row>
    <row r="28" spans="1:12" x14ac:dyDescent="0.35">
      <c r="A28" s="75" t="s">
        <v>265</v>
      </c>
      <c r="B28" s="76">
        <v>227</v>
      </c>
      <c r="C28" s="76">
        <v>472</v>
      </c>
      <c r="D28" s="76">
        <v>4</v>
      </c>
      <c r="E28" s="78">
        <v>127000</v>
      </c>
      <c r="F28" s="77">
        <v>21000</v>
      </c>
      <c r="H28" s="75" t="s">
        <v>265</v>
      </c>
      <c r="I28" s="71">
        <f t="shared" si="0"/>
        <v>1.0809523809523809E-2</v>
      </c>
      <c r="J28" s="71">
        <f t="shared" si="1"/>
        <v>2.2476190476190476E-2</v>
      </c>
      <c r="K28" s="71">
        <f t="shared" si="2"/>
        <v>1.9047619047619048E-4</v>
      </c>
      <c r="L28" s="71">
        <f t="shared" si="3"/>
        <v>6.0476190476190474</v>
      </c>
    </row>
    <row r="29" spans="1:12" x14ac:dyDescent="0.35">
      <c r="A29" s="75" t="s">
        <v>266</v>
      </c>
      <c r="B29" s="76">
        <v>663</v>
      </c>
      <c r="C29" s="76">
        <v>1074</v>
      </c>
      <c r="D29" s="76">
        <v>1</v>
      </c>
      <c r="E29" s="78">
        <v>391000</v>
      </c>
      <c r="F29" s="77">
        <v>29000</v>
      </c>
      <c r="H29" s="75" t="s">
        <v>266</v>
      </c>
      <c r="I29" s="71">
        <f t="shared" si="0"/>
        <v>2.2862068965517242E-2</v>
      </c>
      <c r="J29" s="71">
        <f t="shared" si="1"/>
        <v>3.7034482758620688E-2</v>
      </c>
      <c r="K29" s="71">
        <f t="shared" si="2"/>
        <v>3.4482758620689657E-5</v>
      </c>
      <c r="L29" s="71">
        <f t="shared" si="3"/>
        <v>13.482758620689655</v>
      </c>
    </row>
    <row r="30" spans="1:12" x14ac:dyDescent="0.35">
      <c r="A30" s="75" t="s">
        <v>267</v>
      </c>
      <c r="B30" s="76">
        <v>59</v>
      </c>
      <c r="C30" s="76">
        <v>425</v>
      </c>
      <c r="D30" s="76">
        <v>7</v>
      </c>
      <c r="E30" s="78">
        <v>74000</v>
      </c>
      <c r="F30" s="77">
        <v>158000</v>
      </c>
      <c r="H30" s="75" t="s">
        <v>267</v>
      </c>
      <c r="I30" s="71">
        <f t="shared" si="0"/>
        <v>3.7341772151898732E-4</v>
      </c>
      <c r="J30" s="71">
        <f t="shared" si="1"/>
        <v>2.689873417721519E-3</v>
      </c>
      <c r="K30" s="71">
        <f t="shared" si="2"/>
        <v>4.4303797468354433E-5</v>
      </c>
      <c r="L30" s="71">
        <f t="shared" si="3"/>
        <v>0.46835443037974683</v>
      </c>
    </row>
    <row r="31" spans="1:12" x14ac:dyDescent="0.35">
      <c r="A31" s="75" t="s">
        <v>268</v>
      </c>
      <c r="B31" s="76">
        <v>551</v>
      </c>
      <c r="C31" s="76">
        <v>813</v>
      </c>
      <c r="D31" s="76">
        <v>148</v>
      </c>
      <c r="E31" s="78">
        <v>939000</v>
      </c>
      <c r="F31" s="77">
        <v>452000</v>
      </c>
      <c r="H31" s="75" t="s">
        <v>268</v>
      </c>
      <c r="I31" s="71">
        <f t="shared" si="0"/>
        <v>1.2190265486725664E-3</v>
      </c>
      <c r="J31" s="71">
        <f t="shared" si="1"/>
        <v>1.7986725663716814E-3</v>
      </c>
      <c r="K31" s="71">
        <f t="shared" si="2"/>
        <v>3.2743362831858409E-4</v>
      </c>
      <c r="L31" s="71">
        <f t="shared" si="3"/>
        <v>2.0774336283185839</v>
      </c>
    </row>
    <row r="32" spans="1:12" x14ac:dyDescent="0.35">
      <c r="A32" s="75" t="s">
        <v>269</v>
      </c>
      <c r="B32" s="76">
        <v>814</v>
      </c>
      <c r="C32" s="76">
        <v>235</v>
      </c>
      <c r="D32" s="76">
        <v>3</v>
      </c>
      <c r="E32" s="78">
        <v>440000</v>
      </c>
      <c r="F32" s="77">
        <v>63000</v>
      </c>
      <c r="H32" s="75" t="s">
        <v>269</v>
      </c>
      <c r="I32" s="71">
        <f t="shared" si="0"/>
        <v>1.2920634920634921E-2</v>
      </c>
      <c r="J32" s="71">
        <f t="shared" si="1"/>
        <v>3.7301587301587303E-3</v>
      </c>
      <c r="K32" s="71">
        <f t="shared" si="2"/>
        <v>4.761904761904762E-5</v>
      </c>
      <c r="L32" s="71">
        <f t="shared" si="3"/>
        <v>6.9841269841269842</v>
      </c>
    </row>
    <row r="33" spans="1:12" x14ac:dyDescent="0.35">
      <c r="A33" s="75" t="s">
        <v>270</v>
      </c>
      <c r="B33" s="76">
        <v>254</v>
      </c>
      <c r="C33" s="76">
        <v>132</v>
      </c>
      <c r="D33" s="76">
        <v>10</v>
      </c>
      <c r="E33" s="78">
        <v>327000</v>
      </c>
      <c r="F33" s="77">
        <v>75000</v>
      </c>
      <c r="H33" s="75" t="s">
        <v>270</v>
      </c>
      <c r="I33" s="71">
        <f t="shared" si="0"/>
        <v>3.3866666666666667E-3</v>
      </c>
      <c r="J33" s="71">
        <f t="shared" si="1"/>
        <v>1.7600000000000001E-3</v>
      </c>
      <c r="K33" s="71">
        <f t="shared" si="2"/>
        <v>1.3333333333333334E-4</v>
      </c>
      <c r="L33" s="71">
        <f t="shared" si="3"/>
        <v>4.3600000000000003</v>
      </c>
    </row>
    <row r="34" spans="1:12" x14ac:dyDescent="0.35">
      <c r="A34" s="75" t="s">
        <v>271</v>
      </c>
      <c r="B34" s="76">
        <v>862</v>
      </c>
      <c r="C34" s="76">
        <v>1540</v>
      </c>
      <c r="D34" s="76">
        <v>69</v>
      </c>
      <c r="E34" s="78">
        <v>1190000</v>
      </c>
      <c r="F34" s="77">
        <v>561000</v>
      </c>
      <c r="H34" s="75" t="s">
        <v>271</v>
      </c>
      <c r="I34" s="71">
        <f t="shared" si="0"/>
        <v>1.536541889483066E-3</v>
      </c>
      <c r="J34" s="71">
        <f t="shared" si="1"/>
        <v>2.7450980392156863E-3</v>
      </c>
      <c r="K34" s="71">
        <f t="shared" si="2"/>
        <v>1.2299465240641711E-4</v>
      </c>
      <c r="L34" s="71">
        <f t="shared" si="3"/>
        <v>2.1212121212121211</v>
      </c>
    </row>
    <row r="35" spans="1:12" x14ac:dyDescent="0.35">
      <c r="A35" s="75" t="s">
        <v>272</v>
      </c>
      <c r="B35" s="76">
        <v>2050</v>
      </c>
      <c r="C35" s="78">
        <v>12579</v>
      </c>
      <c r="D35" s="76">
        <v>146</v>
      </c>
      <c r="E35" s="78">
        <v>2459000</v>
      </c>
      <c r="F35" s="77">
        <v>419000</v>
      </c>
      <c r="H35" s="75" t="s">
        <v>272</v>
      </c>
      <c r="I35" s="71">
        <f t="shared" si="0"/>
        <v>4.8926014319809067E-3</v>
      </c>
      <c r="J35" s="71">
        <f t="shared" si="1"/>
        <v>3.0021479713603819E-2</v>
      </c>
      <c r="K35" s="71">
        <f t="shared" si="2"/>
        <v>3.4844868735083533E-4</v>
      </c>
      <c r="L35" s="71">
        <f t="shared" si="3"/>
        <v>5.8687350835322194</v>
      </c>
    </row>
    <row r="36" spans="1:12" x14ac:dyDescent="0.35">
      <c r="A36" s="75" t="s">
        <v>273</v>
      </c>
      <c r="B36" s="76">
        <v>888</v>
      </c>
      <c r="C36" s="76">
        <v>1132</v>
      </c>
      <c r="D36" s="76">
        <v>29</v>
      </c>
      <c r="E36" s="78">
        <v>637000</v>
      </c>
      <c r="F36" s="77">
        <v>378000</v>
      </c>
      <c r="H36" s="75" t="s">
        <v>273</v>
      </c>
      <c r="I36" s="71">
        <f t="shared" si="0"/>
        <v>2.3492063492063491E-3</v>
      </c>
      <c r="J36" s="71">
        <f t="shared" si="1"/>
        <v>2.9947089947089949E-3</v>
      </c>
      <c r="K36" s="71">
        <f t="shared" si="2"/>
        <v>7.6719576719576726E-5</v>
      </c>
      <c r="L36" s="71">
        <f t="shared" si="3"/>
        <v>1.6851851851851851</v>
      </c>
    </row>
    <row r="37" spans="1:12" x14ac:dyDescent="0.35">
      <c r="A37" s="75" t="s">
        <v>274</v>
      </c>
      <c r="B37" s="76">
        <v>105</v>
      </c>
      <c r="C37" s="76">
        <v>138</v>
      </c>
      <c r="D37" s="76">
        <v>17</v>
      </c>
      <c r="E37" s="78">
        <v>122000</v>
      </c>
      <c r="F37" s="77">
        <v>141000</v>
      </c>
      <c r="H37" s="75" t="s">
        <v>274</v>
      </c>
      <c r="I37" s="71">
        <f t="shared" si="0"/>
        <v>7.4468085106382982E-4</v>
      </c>
      <c r="J37" s="71">
        <f t="shared" si="1"/>
        <v>9.7872340425531924E-4</v>
      </c>
      <c r="K37" s="71">
        <f t="shared" si="2"/>
        <v>1.2056737588652483E-4</v>
      </c>
      <c r="L37" s="71">
        <f t="shared" si="3"/>
        <v>0.86524822695035464</v>
      </c>
    </row>
    <row r="38" spans="1:12" x14ac:dyDescent="0.35">
      <c r="A38" s="75" t="s">
        <v>275</v>
      </c>
      <c r="B38" s="76">
        <v>2005</v>
      </c>
      <c r="C38" s="78">
        <v>10488</v>
      </c>
      <c r="D38" s="76">
        <v>128</v>
      </c>
      <c r="E38" s="78">
        <v>2067000</v>
      </c>
      <c r="F38" s="77">
        <v>590000</v>
      </c>
      <c r="H38" s="75" t="s">
        <v>275</v>
      </c>
      <c r="I38" s="71">
        <f t="shared" si="0"/>
        <v>3.3983050847457628E-3</v>
      </c>
      <c r="J38" s="71">
        <f t="shared" si="1"/>
        <v>1.7776271186440679E-2</v>
      </c>
      <c r="K38" s="71">
        <f t="shared" si="2"/>
        <v>2.1694915254237288E-4</v>
      </c>
      <c r="L38" s="71">
        <f t="shared" si="3"/>
        <v>3.5033898305084747</v>
      </c>
    </row>
    <row r="39" spans="1:12" x14ac:dyDescent="0.35">
      <c r="A39" s="75" t="s">
        <v>276</v>
      </c>
      <c r="B39" s="76">
        <v>25</v>
      </c>
      <c r="C39" s="76">
        <v>1</v>
      </c>
      <c r="D39" s="76">
        <v>2</v>
      </c>
      <c r="E39" s="78">
        <v>130000</v>
      </c>
      <c r="F39" s="77">
        <v>54000</v>
      </c>
      <c r="H39" s="75" t="s">
        <v>276</v>
      </c>
      <c r="I39" s="71">
        <f t="shared" si="0"/>
        <v>4.6296296296296298E-4</v>
      </c>
      <c r="J39" s="71">
        <f t="shared" si="1"/>
        <v>1.8518518518518518E-5</v>
      </c>
      <c r="K39" s="71">
        <f t="shared" si="2"/>
        <v>3.7037037037037037E-5</v>
      </c>
      <c r="L39" s="71">
        <f t="shared" si="3"/>
        <v>2.4074074074074074</v>
      </c>
    </row>
    <row r="40" spans="1:12" x14ac:dyDescent="0.35">
      <c r="A40" s="75" t="s">
        <v>277</v>
      </c>
      <c r="B40" s="76">
        <v>313</v>
      </c>
      <c r="C40" s="76">
        <v>1316</v>
      </c>
      <c r="D40" s="76">
        <v>101</v>
      </c>
      <c r="E40" s="78">
        <v>514000</v>
      </c>
      <c r="F40" s="77">
        <v>352000</v>
      </c>
      <c r="H40" s="75" t="s">
        <v>277</v>
      </c>
      <c r="I40" s="71">
        <f t="shared" si="0"/>
        <v>8.8920454545454546E-4</v>
      </c>
      <c r="J40" s="71">
        <f t="shared" si="1"/>
        <v>3.7386363636363637E-3</v>
      </c>
      <c r="K40" s="71">
        <f t="shared" si="2"/>
        <v>2.8693181818181818E-4</v>
      </c>
      <c r="L40" s="71">
        <f t="shared" si="3"/>
        <v>1.4602272727272727</v>
      </c>
    </row>
    <row r="41" spans="1:12" x14ac:dyDescent="0.35">
      <c r="A41" s="75" t="s">
        <v>278</v>
      </c>
      <c r="B41" s="76">
        <v>503</v>
      </c>
      <c r="C41" s="76">
        <v>486</v>
      </c>
      <c r="D41" s="76">
        <v>2</v>
      </c>
      <c r="E41" s="78">
        <v>149000</v>
      </c>
      <c r="F41" s="77">
        <v>24000</v>
      </c>
      <c r="H41" s="75" t="s">
        <v>278</v>
      </c>
      <c r="I41" s="71">
        <f t="shared" si="0"/>
        <v>2.0958333333333332E-2</v>
      </c>
      <c r="J41" s="71">
        <f t="shared" si="1"/>
        <v>2.0250000000000001E-2</v>
      </c>
      <c r="K41" s="71">
        <f t="shared" si="2"/>
        <v>8.3333333333333331E-5</v>
      </c>
      <c r="L41" s="71">
        <f t="shared" si="3"/>
        <v>6.208333333333333</v>
      </c>
    </row>
    <row r="42" spans="1:12" x14ac:dyDescent="0.35">
      <c r="A42" s="75" t="s">
        <v>279</v>
      </c>
      <c r="B42" s="76">
        <v>738</v>
      </c>
      <c r="C42" s="76">
        <v>2755</v>
      </c>
      <c r="D42" s="76">
        <v>145</v>
      </c>
      <c r="E42" s="78">
        <v>1072000</v>
      </c>
      <c r="F42" s="77">
        <v>497000</v>
      </c>
      <c r="H42" s="75" t="s">
        <v>279</v>
      </c>
      <c r="I42" s="71">
        <f t="shared" si="0"/>
        <v>1.4849094567404427E-3</v>
      </c>
      <c r="J42" s="71">
        <f t="shared" si="1"/>
        <v>5.5432595573440642E-3</v>
      </c>
      <c r="K42" s="71">
        <f t="shared" si="2"/>
        <v>2.9175050301810863E-4</v>
      </c>
      <c r="L42" s="71">
        <f t="shared" si="3"/>
        <v>2.1569416498993963</v>
      </c>
    </row>
    <row r="43" spans="1:12" x14ac:dyDescent="0.35">
      <c r="A43" s="75" t="s">
        <v>280</v>
      </c>
      <c r="B43" s="76">
        <v>2215</v>
      </c>
      <c r="C43" s="76">
        <v>6172</v>
      </c>
      <c r="D43" s="76">
        <v>213</v>
      </c>
      <c r="E43" s="78">
        <v>3352000</v>
      </c>
      <c r="F43" s="77">
        <v>105800</v>
      </c>
      <c r="H43" s="75" t="s">
        <v>280</v>
      </c>
      <c r="I43" s="71">
        <f t="shared" si="0"/>
        <v>2.0935727788279773E-2</v>
      </c>
      <c r="J43" s="71">
        <f t="shared" si="1"/>
        <v>5.833648393194707E-2</v>
      </c>
      <c r="K43" s="71">
        <f t="shared" si="2"/>
        <v>2.0132325141776937E-3</v>
      </c>
      <c r="L43" s="71">
        <f t="shared" si="3"/>
        <v>31.682419659735348</v>
      </c>
    </row>
    <row r="44" spans="1:12" x14ac:dyDescent="0.35">
      <c r="A44" s="75" t="s">
        <v>281</v>
      </c>
      <c r="B44" s="76">
        <v>895</v>
      </c>
      <c r="C44" s="76">
        <v>349</v>
      </c>
      <c r="D44" s="76">
        <v>20</v>
      </c>
      <c r="E44" s="78">
        <v>564000</v>
      </c>
      <c r="F44" s="77">
        <v>98000</v>
      </c>
      <c r="H44" s="75" t="s">
        <v>281</v>
      </c>
      <c r="I44" s="71">
        <f t="shared" si="0"/>
        <v>9.13265306122449E-3</v>
      </c>
      <c r="J44" s="71">
        <f t="shared" si="1"/>
        <v>3.5612244897959182E-3</v>
      </c>
      <c r="K44" s="71">
        <f t="shared" si="2"/>
        <v>2.0408163265306123E-4</v>
      </c>
      <c r="L44" s="71">
        <f t="shared" si="3"/>
        <v>5.7551020408163263</v>
      </c>
    </row>
    <row r="45" spans="1:12" x14ac:dyDescent="0.35">
      <c r="A45" s="75" t="s">
        <v>282</v>
      </c>
      <c r="B45" s="76">
        <v>908</v>
      </c>
      <c r="C45" s="76">
        <v>2760</v>
      </c>
      <c r="D45" s="76">
        <v>215</v>
      </c>
      <c r="E45" s="78">
        <v>979000</v>
      </c>
      <c r="F45" s="77">
        <v>401000</v>
      </c>
      <c r="H45" s="75" t="s">
        <v>282</v>
      </c>
      <c r="I45" s="71">
        <f t="shared" si="0"/>
        <v>2.2643391521197007E-3</v>
      </c>
      <c r="J45" s="71">
        <f t="shared" si="1"/>
        <v>6.8827930174563592E-3</v>
      </c>
      <c r="K45" s="71">
        <f t="shared" si="2"/>
        <v>5.3615960099750624E-4</v>
      </c>
      <c r="L45" s="71">
        <f t="shared" si="3"/>
        <v>2.4413965087281797</v>
      </c>
    </row>
    <row r="46" spans="1:12" x14ac:dyDescent="0.35">
      <c r="A46" s="75" t="s">
        <v>283</v>
      </c>
      <c r="B46" s="76">
        <v>47</v>
      </c>
      <c r="C46" s="79">
        <v>4.7</v>
      </c>
      <c r="D46" s="76">
        <v>6</v>
      </c>
      <c r="E46" s="78">
        <v>1010</v>
      </c>
      <c r="F46" s="77">
        <v>36000</v>
      </c>
      <c r="H46" s="75" t="s">
        <v>283</v>
      </c>
      <c r="I46" s="71">
        <f t="shared" si="0"/>
        <v>1.3055555555555555E-3</v>
      </c>
      <c r="J46" s="71">
        <f t="shared" si="1"/>
        <v>1.3055555555555555E-4</v>
      </c>
      <c r="K46" s="71">
        <f t="shared" si="2"/>
        <v>1.6666666666666666E-4</v>
      </c>
      <c r="L46" s="71">
        <f t="shared" si="3"/>
        <v>2.8055555555555556E-2</v>
      </c>
    </row>
    <row r="47" spans="1:12" x14ac:dyDescent="0.35">
      <c r="A47" s="75" t="s">
        <v>284</v>
      </c>
      <c r="B47" s="76">
        <v>265</v>
      </c>
      <c r="C47" s="76">
        <v>96</v>
      </c>
      <c r="D47" s="76">
        <v>19</v>
      </c>
      <c r="E47" s="78">
        <v>301000</v>
      </c>
      <c r="F47" s="77">
        <v>310000</v>
      </c>
      <c r="H47" s="75" t="s">
        <v>284</v>
      </c>
      <c r="I47" s="71">
        <f t="shared" si="0"/>
        <v>8.5483870967741939E-4</v>
      </c>
      <c r="J47" s="71">
        <f t="shared" si="1"/>
        <v>3.0967741935483873E-4</v>
      </c>
      <c r="K47" s="71">
        <f t="shared" si="2"/>
        <v>6.1290322580645156E-5</v>
      </c>
      <c r="L47" s="71">
        <f t="shared" si="3"/>
        <v>0.97096774193548385</v>
      </c>
    </row>
    <row r="48" spans="1:12" x14ac:dyDescent="0.35">
      <c r="A48" s="75" t="s">
        <v>285</v>
      </c>
      <c r="B48" s="76">
        <v>1104</v>
      </c>
      <c r="C48" s="76">
        <v>3415</v>
      </c>
      <c r="D48" s="76">
        <v>20</v>
      </c>
      <c r="E48" s="78">
        <v>1383000</v>
      </c>
      <c r="F48" s="77">
        <v>250000</v>
      </c>
      <c r="H48" s="75" t="s">
        <v>285</v>
      </c>
      <c r="I48" s="71">
        <f t="shared" si="0"/>
        <v>4.4159999999999998E-3</v>
      </c>
      <c r="J48" s="71">
        <f t="shared" si="1"/>
        <v>1.366E-2</v>
      </c>
      <c r="K48" s="71">
        <f t="shared" si="2"/>
        <v>8.0000000000000007E-5</v>
      </c>
      <c r="L48" s="71">
        <f t="shared" si="3"/>
        <v>5.532</v>
      </c>
    </row>
    <row r="49" spans="1:12" x14ac:dyDescent="0.35">
      <c r="A49" s="75" t="s">
        <v>286</v>
      </c>
      <c r="B49" s="76">
        <v>204</v>
      </c>
      <c r="C49" s="76">
        <v>971</v>
      </c>
      <c r="D49" s="76">
        <v>47</v>
      </c>
      <c r="E49" s="78">
        <v>388000</v>
      </c>
      <c r="F49" s="77">
        <v>156000</v>
      </c>
      <c r="H49" s="75" t="s">
        <v>286</v>
      </c>
      <c r="I49" s="71">
        <f t="shared" si="0"/>
        <v>1.3076923076923077E-3</v>
      </c>
      <c r="J49" s="71">
        <f t="shared" si="1"/>
        <v>6.2243589743589747E-3</v>
      </c>
      <c r="K49" s="71">
        <f t="shared" si="2"/>
        <v>3.012820512820513E-4</v>
      </c>
      <c r="L49" s="71">
        <f t="shared" si="3"/>
        <v>2.4871794871794872</v>
      </c>
    </row>
    <row r="50" spans="1:12" x14ac:dyDescent="0.35">
      <c r="A50" s="75" t="s">
        <v>287</v>
      </c>
      <c r="B50" s="76">
        <v>175</v>
      </c>
      <c r="C50" s="76">
        <v>196</v>
      </c>
      <c r="D50" s="76">
        <v>14</v>
      </c>
      <c r="E50" s="78">
        <v>123000</v>
      </c>
      <c r="F50" s="77">
        <v>96000</v>
      </c>
      <c r="H50" s="75" t="s">
        <v>287</v>
      </c>
      <c r="I50" s="80">
        <f>B50/F50</f>
        <v>1.8229166666666667E-3</v>
      </c>
      <c r="J50" s="80">
        <f t="shared" si="1"/>
        <v>2.0416666666666665E-3</v>
      </c>
      <c r="K50" s="80">
        <f>D50/F50</f>
        <v>1.4583333333333335E-4</v>
      </c>
      <c r="L50" s="80">
        <f>E50/F50</f>
        <v>1.28125</v>
      </c>
    </row>
    <row r="52" spans="1:12" x14ac:dyDescent="0.35">
      <c r="F52" s="81"/>
    </row>
  </sheetData>
  <mergeCells count="2">
    <mergeCell ref="A1:E1"/>
    <mergeCell ref="H1:L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68"/>
  <sheetViews>
    <sheetView workbookViewId="0">
      <pane xSplit="1" ySplit="6" topLeftCell="E35" activePane="bottomRight" state="frozen"/>
      <selection pane="topRight" activeCell="B1" sqref="B1"/>
      <selection pane="bottomLeft" activeCell="A7" sqref="A7"/>
      <selection pane="bottomRight" activeCell="A38" sqref="A38:XFD38"/>
    </sheetView>
  </sheetViews>
  <sheetFormatPr defaultColWidth="9.08984375" defaultRowHeight="14.5" x14ac:dyDescent="0.35"/>
  <cols>
    <col min="1" max="1" width="27.1796875" style="19" customWidth="1"/>
    <col min="2" max="16384" width="9.08984375" style="19"/>
  </cols>
  <sheetData>
    <row r="1" spans="1:19" x14ac:dyDescent="0.35">
      <c r="A1" s="19" t="s">
        <v>329</v>
      </c>
    </row>
    <row r="2" spans="1:19" x14ac:dyDescent="0.35">
      <c r="A2" s="19" t="s">
        <v>306</v>
      </c>
    </row>
    <row r="3" spans="1:19" x14ac:dyDescent="0.35">
      <c r="A3" s="19" t="s">
        <v>307</v>
      </c>
    </row>
    <row r="5" spans="1:19" x14ac:dyDescent="0.35">
      <c r="A5" s="324" t="s">
        <v>308</v>
      </c>
      <c r="B5" s="325" t="s">
        <v>502</v>
      </c>
      <c r="C5" s="325"/>
      <c r="D5" s="325"/>
      <c r="E5" s="325"/>
      <c r="F5" s="325"/>
      <c r="G5" s="325"/>
      <c r="H5" s="325"/>
      <c r="I5" s="325"/>
      <c r="J5" s="325"/>
      <c r="K5" s="325"/>
      <c r="L5" s="325"/>
      <c r="M5" s="325"/>
      <c r="N5" s="325"/>
      <c r="O5" s="325"/>
      <c r="P5" s="325"/>
      <c r="Q5" s="325"/>
      <c r="R5" s="325"/>
      <c r="S5" s="325"/>
    </row>
    <row r="6" spans="1:19" x14ac:dyDescent="0.35">
      <c r="A6" s="324"/>
      <c r="B6" s="3">
        <v>2001</v>
      </c>
      <c r="C6" s="3">
        <v>2002</v>
      </c>
      <c r="D6" s="3">
        <v>2003</v>
      </c>
      <c r="E6" s="3">
        <v>2004</v>
      </c>
      <c r="F6" s="3">
        <v>2005</v>
      </c>
      <c r="G6" s="3">
        <v>2006</v>
      </c>
      <c r="H6" s="3">
        <v>2007</v>
      </c>
      <c r="I6" s="3">
        <v>2008</v>
      </c>
      <c r="J6" s="3">
        <v>2009</v>
      </c>
      <c r="K6" s="3">
        <v>2010</v>
      </c>
      <c r="L6" s="3">
        <v>2011</v>
      </c>
      <c r="M6" s="3">
        <v>2012</v>
      </c>
      <c r="N6" s="3">
        <v>2013</v>
      </c>
      <c r="O6" s="3">
        <v>2014</v>
      </c>
      <c r="P6" s="3">
        <v>2015</v>
      </c>
      <c r="Q6" s="3">
        <v>2016</v>
      </c>
      <c r="R6" s="3">
        <v>2017</v>
      </c>
      <c r="S6" s="3">
        <v>2018</v>
      </c>
    </row>
    <row r="7" spans="1:19" x14ac:dyDescent="0.35">
      <c r="A7" s="3" t="s">
        <v>309</v>
      </c>
      <c r="B7" s="3">
        <v>8.58</v>
      </c>
      <c r="C7" s="3">
        <v>8.44</v>
      </c>
      <c r="D7" s="3">
        <v>8.7200000000000006</v>
      </c>
      <c r="E7" s="3">
        <v>8.9499999999999993</v>
      </c>
      <c r="F7" s="3">
        <v>9.4499999999999993</v>
      </c>
      <c r="G7" s="3">
        <v>10.4</v>
      </c>
      <c r="H7" s="3">
        <v>10.65</v>
      </c>
      <c r="I7" s="3">
        <v>11.26</v>
      </c>
      <c r="J7" s="3">
        <v>11.51</v>
      </c>
      <c r="K7" s="3">
        <v>11.54</v>
      </c>
      <c r="L7" s="3">
        <v>11.72</v>
      </c>
      <c r="M7" s="3">
        <v>11.88</v>
      </c>
      <c r="N7" s="3">
        <v>12.13</v>
      </c>
      <c r="O7" s="3">
        <v>12.52</v>
      </c>
      <c r="P7" s="3">
        <v>12.65</v>
      </c>
      <c r="Q7" s="3">
        <v>12.55</v>
      </c>
      <c r="R7" s="3">
        <v>12.89</v>
      </c>
      <c r="S7" s="3">
        <v>12.87</v>
      </c>
    </row>
    <row r="8" spans="1:19" x14ac:dyDescent="0.35">
      <c r="A8" s="3" t="s">
        <v>310</v>
      </c>
      <c r="B8" s="3">
        <v>12.08</v>
      </c>
      <c r="C8" s="3">
        <v>11.23</v>
      </c>
      <c r="D8" s="3">
        <v>11.68</v>
      </c>
      <c r="E8" s="3">
        <v>11.91</v>
      </c>
      <c r="F8" s="3">
        <v>13.44</v>
      </c>
      <c r="G8" s="3">
        <v>15.98</v>
      </c>
      <c r="H8" s="3">
        <v>16.7</v>
      </c>
      <c r="I8" s="3">
        <v>17.649999999999999</v>
      </c>
      <c r="J8" s="3">
        <v>17.48</v>
      </c>
      <c r="K8" s="3">
        <v>16.23</v>
      </c>
      <c r="L8" s="3">
        <v>15.89</v>
      </c>
      <c r="M8" s="3">
        <v>15.71</v>
      </c>
      <c r="N8" s="3">
        <v>16.22</v>
      </c>
      <c r="O8" s="3">
        <v>17.82</v>
      </c>
      <c r="P8" s="3">
        <v>19.43</v>
      </c>
      <c r="Q8" s="3">
        <v>18.809999999999999</v>
      </c>
      <c r="R8" s="3">
        <v>19.41</v>
      </c>
      <c r="S8" s="3">
        <v>20.6</v>
      </c>
    </row>
    <row r="9" spans="1:19" x14ac:dyDescent="0.35">
      <c r="A9" s="19" t="s">
        <v>187</v>
      </c>
      <c r="B9" s="19">
        <v>10.9</v>
      </c>
      <c r="C9" s="19">
        <v>10.96</v>
      </c>
      <c r="D9" s="19">
        <v>11.31</v>
      </c>
      <c r="E9" s="19">
        <v>11.63</v>
      </c>
      <c r="F9" s="19">
        <v>13.64</v>
      </c>
      <c r="G9" s="19">
        <v>16.86</v>
      </c>
      <c r="H9" s="19">
        <v>19.11</v>
      </c>
      <c r="I9" s="19">
        <v>19.54</v>
      </c>
      <c r="J9" s="19">
        <v>20.329999999999998</v>
      </c>
      <c r="K9" s="19">
        <v>19.25</v>
      </c>
      <c r="L9" s="19">
        <v>18.11</v>
      </c>
      <c r="M9" s="19">
        <v>17.34</v>
      </c>
      <c r="N9" s="19">
        <v>17.55</v>
      </c>
      <c r="O9" s="19">
        <v>19.75</v>
      </c>
      <c r="P9" s="19">
        <v>20.94</v>
      </c>
      <c r="Q9" s="19">
        <v>20.010000000000002</v>
      </c>
      <c r="R9" s="19">
        <v>20.29</v>
      </c>
      <c r="S9" s="19">
        <v>21.2</v>
      </c>
    </row>
    <row r="10" spans="1:19" x14ac:dyDescent="0.35">
      <c r="A10" s="19" t="s">
        <v>201</v>
      </c>
      <c r="B10" s="19">
        <v>13.13</v>
      </c>
      <c r="C10" s="19">
        <v>12.74</v>
      </c>
      <c r="D10" s="19">
        <v>12.37</v>
      </c>
      <c r="E10" s="19">
        <v>12.16</v>
      </c>
      <c r="F10" s="19">
        <v>13.23</v>
      </c>
      <c r="G10" s="19">
        <v>13.8</v>
      </c>
      <c r="H10" s="19">
        <v>16.52</v>
      </c>
      <c r="I10" s="19">
        <v>16.239999999999998</v>
      </c>
      <c r="J10" s="19">
        <v>15.64</v>
      </c>
      <c r="K10" s="19">
        <v>15.72</v>
      </c>
      <c r="L10" s="19">
        <v>15.38</v>
      </c>
      <c r="M10" s="19">
        <v>14.66</v>
      </c>
      <c r="N10" s="19">
        <v>14.35</v>
      </c>
      <c r="O10" s="19">
        <v>15.27</v>
      </c>
      <c r="P10" s="19">
        <v>15.61</v>
      </c>
      <c r="Q10" s="19">
        <v>15.83</v>
      </c>
      <c r="R10" s="19">
        <v>15.97</v>
      </c>
      <c r="S10" s="19">
        <v>16.84</v>
      </c>
    </row>
    <row r="11" spans="1:19" x14ac:dyDescent="0.35">
      <c r="A11" s="19" t="s">
        <v>199</v>
      </c>
      <c r="B11" s="19">
        <v>12.47</v>
      </c>
      <c r="C11" s="19">
        <v>10.93</v>
      </c>
      <c r="D11" s="19">
        <v>11.6</v>
      </c>
      <c r="E11" s="19">
        <v>11.75</v>
      </c>
      <c r="F11" s="19">
        <v>13.44</v>
      </c>
      <c r="G11" s="19">
        <v>16.600000000000001</v>
      </c>
      <c r="H11" s="19">
        <v>16.23</v>
      </c>
      <c r="I11" s="19">
        <v>17.559999999999999</v>
      </c>
      <c r="J11" s="19">
        <v>16.87</v>
      </c>
      <c r="K11" s="19">
        <v>14.59</v>
      </c>
      <c r="L11" s="19">
        <v>14.67</v>
      </c>
      <c r="M11" s="19">
        <v>14.91</v>
      </c>
      <c r="N11" s="19">
        <v>15.83</v>
      </c>
      <c r="O11" s="19">
        <v>17.39</v>
      </c>
      <c r="P11" s="19">
        <v>19.829999999999998</v>
      </c>
      <c r="Q11" s="19">
        <v>19</v>
      </c>
      <c r="R11" s="19">
        <v>20.059999999999999</v>
      </c>
      <c r="S11" s="19">
        <v>21.61</v>
      </c>
    </row>
    <row r="12" spans="1:19" x14ac:dyDescent="0.35">
      <c r="A12" s="19" t="s">
        <v>210</v>
      </c>
      <c r="B12" s="19">
        <v>12.49</v>
      </c>
      <c r="C12" s="19">
        <v>11.89</v>
      </c>
      <c r="D12" s="19">
        <v>11.98</v>
      </c>
      <c r="E12" s="19">
        <v>12.49</v>
      </c>
      <c r="F12" s="19">
        <v>13.51</v>
      </c>
      <c r="G12" s="19">
        <v>14.68</v>
      </c>
      <c r="H12" s="19">
        <v>14.88</v>
      </c>
      <c r="I12" s="19">
        <v>15.68</v>
      </c>
      <c r="J12" s="19">
        <v>16.39</v>
      </c>
      <c r="K12" s="19">
        <v>16.32</v>
      </c>
      <c r="L12" s="19">
        <v>16.52</v>
      </c>
      <c r="M12" s="19">
        <v>16.07</v>
      </c>
      <c r="N12" s="19">
        <v>16.329999999999998</v>
      </c>
      <c r="O12" s="19">
        <v>17.53</v>
      </c>
      <c r="P12" s="19">
        <v>18.5</v>
      </c>
      <c r="Q12" s="19">
        <v>18.38</v>
      </c>
      <c r="R12" s="19">
        <v>19.2</v>
      </c>
      <c r="S12" s="19">
        <v>19.690000000000001</v>
      </c>
    </row>
    <row r="13" spans="1:19" x14ac:dyDescent="0.35">
      <c r="A13" s="19" t="s">
        <v>219</v>
      </c>
      <c r="B13" s="19">
        <v>12.13</v>
      </c>
      <c r="C13" s="19">
        <v>10.199999999999999</v>
      </c>
      <c r="D13" s="19">
        <v>11.61</v>
      </c>
      <c r="E13" s="19">
        <v>12.19</v>
      </c>
      <c r="F13" s="19">
        <v>13.04</v>
      </c>
      <c r="G13" s="19">
        <v>15.12</v>
      </c>
      <c r="H13" s="19">
        <v>14.05</v>
      </c>
      <c r="I13" s="19">
        <v>17.45</v>
      </c>
      <c r="J13" s="19">
        <v>15.6</v>
      </c>
      <c r="K13" s="19">
        <v>15.92</v>
      </c>
      <c r="L13" s="19">
        <v>14.33</v>
      </c>
      <c r="M13" s="19">
        <v>14.4</v>
      </c>
      <c r="N13" s="19">
        <v>15.2</v>
      </c>
      <c r="O13" s="19">
        <v>17.170000000000002</v>
      </c>
      <c r="P13" s="19">
        <v>19.29</v>
      </c>
      <c r="Q13" s="19">
        <v>18.62</v>
      </c>
      <c r="R13" s="19">
        <v>18.32</v>
      </c>
      <c r="S13" s="19">
        <v>20.55</v>
      </c>
    </row>
    <row r="14" spans="1:19" x14ac:dyDescent="0.35">
      <c r="A14" s="19" t="s">
        <v>225</v>
      </c>
      <c r="B14" s="19">
        <v>12.67</v>
      </c>
      <c r="C14" s="19">
        <v>12.78</v>
      </c>
      <c r="D14" s="19">
        <v>12.82</v>
      </c>
      <c r="E14" s="19">
        <v>12.94</v>
      </c>
      <c r="F14" s="19">
        <v>12.96</v>
      </c>
      <c r="G14" s="19">
        <v>13.39</v>
      </c>
      <c r="H14" s="19">
        <v>14.15</v>
      </c>
      <c r="I14" s="19">
        <v>14.48</v>
      </c>
      <c r="J14" s="19">
        <v>14.9</v>
      </c>
      <c r="K14" s="19">
        <v>15.57</v>
      </c>
      <c r="L14" s="19">
        <v>16.260000000000002</v>
      </c>
      <c r="M14" s="19">
        <v>17.010000000000002</v>
      </c>
      <c r="N14" s="19">
        <v>17.14</v>
      </c>
      <c r="O14" s="19">
        <v>17.47</v>
      </c>
      <c r="P14" s="19">
        <v>17.09</v>
      </c>
      <c r="Q14" s="19">
        <v>17.37</v>
      </c>
      <c r="R14" s="19">
        <v>17.68</v>
      </c>
      <c r="S14" s="19">
        <v>18.02</v>
      </c>
    </row>
    <row r="15" spans="1:19" x14ac:dyDescent="0.35">
      <c r="A15" s="3" t="s">
        <v>311</v>
      </c>
      <c r="B15" s="3">
        <v>11.46</v>
      </c>
      <c r="C15" s="3">
        <v>11.33</v>
      </c>
      <c r="D15" s="3">
        <v>11.62</v>
      </c>
      <c r="E15" s="3">
        <v>11.81</v>
      </c>
      <c r="F15" s="3">
        <v>12.49</v>
      </c>
      <c r="G15" s="3">
        <v>13.36</v>
      </c>
      <c r="H15" s="3">
        <v>13.95</v>
      </c>
      <c r="I15" s="3">
        <v>14.88</v>
      </c>
      <c r="J15" s="3">
        <v>14.84</v>
      </c>
      <c r="K15" s="3">
        <v>15.81</v>
      </c>
      <c r="L15" s="3">
        <v>15.8</v>
      </c>
      <c r="M15" s="3">
        <v>15.27</v>
      </c>
      <c r="N15" s="3">
        <v>15.7</v>
      </c>
      <c r="O15" s="3">
        <v>16.39</v>
      </c>
      <c r="P15" s="3">
        <v>15.97</v>
      </c>
      <c r="Q15" s="3">
        <v>15.68</v>
      </c>
      <c r="R15" s="3">
        <v>15.99</v>
      </c>
      <c r="S15" s="3">
        <v>15.97</v>
      </c>
    </row>
    <row r="16" spans="1:19" x14ac:dyDescent="0.35">
      <c r="A16" s="19" t="s">
        <v>211</v>
      </c>
      <c r="B16" s="19">
        <v>10.210000000000001</v>
      </c>
      <c r="C16" s="19">
        <v>10.38</v>
      </c>
      <c r="D16" s="19">
        <v>10.67</v>
      </c>
      <c r="E16" s="19">
        <v>11.23</v>
      </c>
      <c r="F16" s="19">
        <v>11.74</v>
      </c>
      <c r="G16" s="19">
        <v>12.84</v>
      </c>
      <c r="H16" s="19">
        <v>14.14</v>
      </c>
      <c r="I16" s="19">
        <v>15.66</v>
      </c>
      <c r="J16" s="19">
        <v>16.309999999999999</v>
      </c>
      <c r="K16" s="19">
        <v>16.57</v>
      </c>
      <c r="L16" s="19">
        <v>16.23</v>
      </c>
      <c r="M16" s="19">
        <v>15.78</v>
      </c>
      <c r="N16" s="19">
        <v>15.73</v>
      </c>
      <c r="O16" s="19">
        <v>15.78</v>
      </c>
      <c r="P16" s="19">
        <v>15.81</v>
      </c>
      <c r="Q16" s="19">
        <v>15.72</v>
      </c>
      <c r="R16" s="19">
        <v>15.65</v>
      </c>
      <c r="S16" s="19">
        <v>15.41</v>
      </c>
    </row>
    <row r="17" spans="1:19" x14ac:dyDescent="0.35">
      <c r="A17" s="19" t="s">
        <v>214</v>
      </c>
      <c r="B17" s="19">
        <v>14.04</v>
      </c>
      <c r="C17" s="19">
        <v>13.55</v>
      </c>
      <c r="D17" s="19">
        <v>14.31</v>
      </c>
      <c r="E17" s="19">
        <v>14.54</v>
      </c>
      <c r="F17" s="19">
        <v>15.72</v>
      </c>
      <c r="G17" s="19">
        <v>16.89</v>
      </c>
      <c r="H17" s="19">
        <v>17.100000000000001</v>
      </c>
      <c r="I17" s="19">
        <v>18.309999999999999</v>
      </c>
      <c r="J17" s="19">
        <v>17.5</v>
      </c>
      <c r="K17" s="19">
        <v>18.739999999999998</v>
      </c>
      <c r="L17" s="19">
        <v>18.260000000000002</v>
      </c>
      <c r="M17" s="19">
        <v>17.62</v>
      </c>
      <c r="N17" s="19">
        <v>18.79</v>
      </c>
      <c r="O17" s="19">
        <v>20.07</v>
      </c>
      <c r="P17" s="19">
        <v>18.54</v>
      </c>
      <c r="Q17" s="19">
        <v>17.579999999999998</v>
      </c>
      <c r="R17" s="19">
        <v>18.03</v>
      </c>
      <c r="S17" s="19">
        <v>18.52</v>
      </c>
    </row>
    <row r="18" spans="1:19" x14ac:dyDescent="0.35">
      <c r="A18" s="19" t="s">
        <v>218</v>
      </c>
      <c r="B18" s="19">
        <v>9.68</v>
      </c>
      <c r="C18" s="19">
        <v>9.74</v>
      </c>
      <c r="D18" s="19">
        <v>9.59</v>
      </c>
      <c r="E18" s="19">
        <v>9.58</v>
      </c>
      <c r="F18" s="19">
        <v>9.86</v>
      </c>
      <c r="G18" s="19">
        <v>10.35</v>
      </c>
      <c r="H18" s="19">
        <v>10.95</v>
      </c>
      <c r="I18" s="19">
        <v>11.35</v>
      </c>
      <c r="J18" s="19">
        <v>11.65</v>
      </c>
      <c r="K18" s="19">
        <v>12.7</v>
      </c>
      <c r="L18" s="19">
        <v>13.26</v>
      </c>
      <c r="M18" s="19">
        <v>12.75</v>
      </c>
      <c r="N18" s="19">
        <v>12.79</v>
      </c>
      <c r="O18" s="19">
        <v>13.32</v>
      </c>
      <c r="P18" s="19">
        <v>13.64</v>
      </c>
      <c r="Q18" s="19">
        <v>13.86</v>
      </c>
      <c r="R18" s="19">
        <v>14.23</v>
      </c>
      <c r="S18" s="19">
        <v>13.89</v>
      </c>
    </row>
    <row r="19" spans="1:19" x14ac:dyDescent="0.35">
      <c r="A19" s="3" t="s">
        <v>312</v>
      </c>
      <c r="B19" s="3">
        <v>8.1300000000000008</v>
      </c>
      <c r="C19" s="3">
        <v>8.0500000000000007</v>
      </c>
      <c r="D19" s="3">
        <v>8.15</v>
      </c>
      <c r="E19" s="3">
        <v>8.2799999999999994</v>
      </c>
      <c r="F19" s="3">
        <v>8.41</v>
      </c>
      <c r="G19" s="3">
        <v>9.14</v>
      </c>
      <c r="H19" s="3">
        <v>9.74</v>
      </c>
      <c r="I19" s="3">
        <v>10.39</v>
      </c>
      <c r="J19" s="3">
        <v>10.92</v>
      </c>
      <c r="K19" s="3">
        <v>11.41</v>
      </c>
      <c r="L19" s="3">
        <v>11.79</v>
      </c>
      <c r="M19" s="3">
        <v>12.05</v>
      </c>
      <c r="N19" s="3">
        <v>12.14</v>
      </c>
      <c r="O19" s="3">
        <v>12.65</v>
      </c>
      <c r="P19" s="3">
        <v>12.96</v>
      </c>
      <c r="Q19" s="3">
        <v>13.06</v>
      </c>
      <c r="R19" s="3">
        <v>13.36</v>
      </c>
      <c r="S19" s="3">
        <v>13.25</v>
      </c>
    </row>
    <row r="20" spans="1:19" x14ac:dyDescent="0.35">
      <c r="A20" s="19" t="s">
        <v>194</v>
      </c>
      <c r="B20" s="19">
        <v>8.7100000000000009</v>
      </c>
      <c r="C20" s="19">
        <v>8.39</v>
      </c>
      <c r="D20" s="19">
        <v>8.3800000000000008</v>
      </c>
      <c r="E20" s="19">
        <v>8.3699999999999992</v>
      </c>
      <c r="F20" s="19">
        <v>8.34</v>
      </c>
      <c r="G20" s="19">
        <v>8.42</v>
      </c>
      <c r="H20" s="19">
        <v>10.119999999999999</v>
      </c>
      <c r="I20" s="19">
        <v>11.07</v>
      </c>
      <c r="J20" s="19">
        <v>11.27</v>
      </c>
      <c r="K20" s="19">
        <v>11.52</v>
      </c>
      <c r="L20" s="19">
        <v>11.78</v>
      </c>
      <c r="M20" s="19">
        <v>11.37</v>
      </c>
      <c r="N20" s="19">
        <v>10.63</v>
      </c>
      <c r="O20" s="19">
        <v>11.91</v>
      </c>
      <c r="P20" s="19">
        <v>12.5</v>
      </c>
      <c r="Q20" s="19">
        <v>12.54</v>
      </c>
      <c r="R20" s="19">
        <v>12.95</v>
      </c>
      <c r="S20" s="19">
        <v>12.77</v>
      </c>
    </row>
    <row r="21" spans="1:19" x14ac:dyDescent="0.35">
      <c r="A21" s="19" t="s">
        <v>195</v>
      </c>
      <c r="B21" s="19">
        <v>6.92</v>
      </c>
      <c r="C21" s="19">
        <v>6.91</v>
      </c>
      <c r="D21" s="19">
        <v>7.04</v>
      </c>
      <c r="E21" s="19">
        <v>7.3</v>
      </c>
      <c r="F21" s="19">
        <v>7.5</v>
      </c>
      <c r="G21" s="19">
        <v>8.2200000000000006</v>
      </c>
      <c r="H21" s="19">
        <v>8.26</v>
      </c>
      <c r="I21" s="19">
        <v>8.8699999999999992</v>
      </c>
      <c r="J21" s="19">
        <v>9.5</v>
      </c>
      <c r="K21" s="19">
        <v>9.56</v>
      </c>
      <c r="L21" s="19">
        <v>10.06</v>
      </c>
      <c r="M21" s="19">
        <v>10.53</v>
      </c>
      <c r="N21" s="19">
        <v>10.99</v>
      </c>
      <c r="O21" s="19">
        <v>11.46</v>
      </c>
      <c r="P21" s="19">
        <v>11.57</v>
      </c>
      <c r="Q21" s="19">
        <v>11.79</v>
      </c>
      <c r="R21" s="19">
        <v>12.29</v>
      </c>
      <c r="S21" s="19">
        <v>12.26</v>
      </c>
    </row>
    <row r="22" spans="1:19" x14ac:dyDescent="0.35">
      <c r="A22" s="19" t="s">
        <v>202</v>
      </c>
      <c r="B22" s="19">
        <v>8.26</v>
      </c>
      <c r="C22" s="19">
        <v>8.2799999999999994</v>
      </c>
      <c r="D22" s="19">
        <v>8.35</v>
      </c>
      <c r="E22" s="19">
        <v>8.33</v>
      </c>
      <c r="F22" s="19">
        <v>8.4</v>
      </c>
      <c r="G22" s="19">
        <v>9.77</v>
      </c>
      <c r="H22" s="19">
        <v>10.210000000000001</v>
      </c>
      <c r="I22" s="19">
        <v>10.75</v>
      </c>
      <c r="J22" s="19">
        <v>11.6</v>
      </c>
      <c r="K22" s="19">
        <v>12.46</v>
      </c>
      <c r="L22" s="19">
        <v>13.27</v>
      </c>
      <c r="M22" s="19">
        <v>14.13</v>
      </c>
      <c r="N22" s="19">
        <v>14.59</v>
      </c>
      <c r="O22" s="19">
        <v>14.46</v>
      </c>
      <c r="P22" s="19">
        <v>14.42</v>
      </c>
      <c r="Q22" s="19">
        <v>15.22</v>
      </c>
      <c r="R22" s="19">
        <v>15.4</v>
      </c>
      <c r="S22" s="19">
        <v>15.45</v>
      </c>
    </row>
    <row r="23" spans="1:19" x14ac:dyDescent="0.35">
      <c r="A23" s="19" t="s">
        <v>215</v>
      </c>
      <c r="B23" s="19">
        <v>8.3699999999999992</v>
      </c>
      <c r="C23" s="19">
        <v>8.24</v>
      </c>
      <c r="D23" s="19">
        <v>8.26</v>
      </c>
      <c r="E23" s="19">
        <v>8.4499999999999993</v>
      </c>
      <c r="F23" s="19">
        <v>8.51</v>
      </c>
      <c r="G23" s="19">
        <v>9.34</v>
      </c>
      <c r="H23" s="19">
        <v>9.57</v>
      </c>
      <c r="I23" s="19">
        <v>10.06</v>
      </c>
      <c r="J23" s="19">
        <v>10.67</v>
      </c>
      <c r="K23" s="19">
        <v>11.31</v>
      </c>
      <c r="L23" s="19">
        <v>11.42</v>
      </c>
      <c r="M23" s="19">
        <v>11.76</v>
      </c>
      <c r="N23" s="19">
        <v>12.01</v>
      </c>
      <c r="O23" s="19">
        <v>12.5</v>
      </c>
      <c r="P23" s="19">
        <v>12.8</v>
      </c>
      <c r="Q23" s="19">
        <v>12.47</v>
      </c>
      <c r="R23" s="19">
        <v>12.63</v>
      </c>
      <c r="S23" s="19">
        <v>12.56</v>
      </c>
    </row>
    <row r="24" spans="1:19" x14ac:dyDescent="0.35">
      <c r="A24" s="19" t="s">
        <v>227</v>
      </c>
      <c r="B24" s="19">
        <v>7.9</v>
      </c>
      <c r="C24" s="19">
        <v>8.18</v>
      </c>
      <c r="D24" s="19">
        <v>8.67</v>
      </c>
      <c r="E24" s="19">
        <v>9.07</v>
      </c>
      <c r="F24" s="19">
        <v>9.66</v>
      </c>
      <c r="G24" s="19">
        <v>10.51</v>
      </c>
      <c r="H24" s="19">
        <v>10.87</v>
      </c>
      <c r="I24" s="19">
        <v>11.51</v>
      </c>
      <c r="J24" s="19">
        <v>11.94</v>
      </c>
      <c r="K24" s="19">
        <v>12.65</v>
      </c>
      <c r="L24" s="19">
        <v>13.02</v>
      </c>
      <c r="M24" s="19">
        <v>13.19</v>
      </c>
      <c r="N24" s="19">
        <v>13.55</v>
      </c>
      <c r="O24" s="19">
        <v>13.67</v>
      </c>
      <c r="P24" s="19">
        <v>14.11</v>
      </c>
      <c r="Q24" s="19">
        <v>14.07</v>
      </c>
      <c r="R24" s="19">
        <v>14.35</v>
      </c>
      <c r="S24" s="19">
        <v>14.02</v>
      </c>
    </row>
    <row r="25" spans="1:19" x14ac:dyDescent="0.35">
      <c r="A25" s="3" t="s">
        <v>313</v>
      </c>
      <c r="B25" s="3">
        <v>7.37</v>
      </c>
      <c r="C25" s="3">
        <v>7.37</v>
      </c>
      <c r="D25" s="3">
        <v>7.42</v>
      </c>
      <c r="E25" s="3">
        <v>7.57</v>
      </c>
      <c r="F25" s="3">
        <v>7.78</v>
      </c>
      <c r="G25" s="3">
        <v>8.1199999999999992</v>
      </c>
      <c r="H25" s="3">
        <v>8.31</v>
      </c>
      <c r="I25" s="3">
        <v>8.67</v>
      </c>
      <c r="J25" s="3">
        <v>9.14</v>
      </c>
      <c r="K25" s="3">
        <v>9.64</v>
      </c>
      <c r="L25" s="3">
        <v>10.119999999999999</v>
      </c>
      <c r="M25" s="3">
        <v>10.59</v>
      </c>
      <c r="N25" s="3">
        <v>10.94</v>
      </c>
      <c r="O25" s="3">
        <v>11.09</v>
      </c>
      <c r="P25" s="3">
        <v>11.47</v>
      </c>
      <c r="Q25" s="3">
        <v>11.79</v>
      </c>
      <c r="R25" s="3">
        <v>12.13</v>
      </c>
      <c r="S25" s="3">
        <v>12</v>
      </c>
    </row>
    <row r="26" spans="1:19" x14ac:dyDescent="0.35">
      <c r="A26" s="19" t="s">
        <v>192</v>
      </c>
      <c r="B26" s="19">
        <v>8.41</v>
      </c>
      <c r="C26" s="19">
        <v>8.35</v>
      </c>
      <c r="D26" s="19">
        <v>8.57</v>
      </c>
      <c r="E26" s="19">
        <v>8.9600000000000009</v>
      </c>
      <c r="F26" s="19">
        <v>9.27</v>
      </c>
      <c r="G26" s="19">
        <v>9.6300000000000008</v>
      </c>
      <c r="H26" s="19">
        <v>9.4499999999999993</v>
      </c>
      <c r="I26" s="19">
        <v>9.49</v>
      </c>
      <c r="J26" s="19">
        <v>9.99</v>
      </c>
      <c r="K26" s="19">
        <v>10.42</v>
      </c>
      <c r="L26" s="19">
        <v>10.46</v>
      </c>
      <c r="M26" s="19">
        <v>10.82</v>
      </c>
      <c r="N26" s="19">
        <v>11.04</v>
      </c>
      <c r="O26" s="19">
        <v>11.16</v>
      </c>
      <c r="P26" s="19">
        <v>11.63</v>
      </c>
      <c r="Q26" s="19">
        <v>11.94</v>
      </c>
      <c r="R26" s="19">
        <v>12.34</v>
      </c>
      <c r="S26" s="19">
        <v>12.24</v>
      </c>
    </row>
    <row r="27" spans="1:19" x14ac:dyDescent="0.35">
      <c r="A27" s="19" t="s">
        <v>196</v>
      </c>
      <c r="B27" s="19">
        <v>7.66</v>
      </c>
      <c r="C27" s="19">
        <v>7.67</v>
      </c>
      <c r="D27" s="19">
        <v>7.71</v>
      </c>
      <c r="E27" s="19">
        <v>7.74</v>
      </c>
      <c r="F27" s="19">
        <v>7.9</v>
      </c>
      <c r="G27" s="19">
        <v>8.25</v>
      </c>
      <c r="H27" s="19">
        <v>8.19</v>
      </c>
      <c r="I27" s="19">
        <v>8.89</v>
      </c>
      <c r="J27" s="19">
        <v>9.5299999999999994</v>
      </c>
      <c r="K27" s="19">
        <v>10.029999999999999</v>
      </c>
      <c r="L27" s="19">
        <v>10.65</v>
      </c>
      <c r="M27" s="19">
        <v>11.24</v>
      </c>
      <c r="N27" s="19">
        <v>11.64</v>
      </c>
      <c r="O27" s="19">
        <v>12.17</v>
      </c>
      <c r="P27" s="19">
        <v>12.34</v>
      </c>
      <c r="Q27" s="19">
        <v>13.06</v>
      </c>
      <c r="R27" s="19">
        <v>13.31</v>
      </c>
      <c r="S27" s="19">
        <v>13.35</v>
      </c>
    </row>
    <row r="28" spans="1:19" x14ac:dyDescent="0.35">
      <c r="A28" s="19" t="s">
        <v>203</v>
      </c>
      <c r="B28" s="19">
        <v>7.61</v>
      </c>
      <c r="C28" s="19">
        <v>7.49</v>
      </c>
      <c r="D28" s="19">
        <v>7.65</v>
      </c>
      <c r="E28" s="19">
        <v>7.92</v>
      </c>
      <c r="F28" s="19">
        <v>8.2799999999999994</v>
      </c>
      <c r="G28" s="19">
        <v>8.6999999999999993</v>
      </c>
      <c r="H28" s="19">
        <v>9.18</v>
      </c>
      <c r="I28" s="19">
        <v>9.74</v>
      </c>
      <c r="J28" s="19">
        <v>10.039999999999999</v>
      </c>
      <c r="K28" s="19">
        <v>10.59</v>
      </c>
      <c r="L28" s="19">
        <v>10.96</v>
      </c>
      <c r="M28" s="19">
        <v>11.35</v>
      </c>
      <c r="N28" s="19">
        <v>11.81</v>
      </c>
      <c r="O28" s="19">
        <v>12.01</v>
      </c>
      <c r="P28" s="19">
        <v>12.12</v>
      </c>
      <c r="Q28" s="19">
        <v>12.67</v>
      </c>
      <c r="R28" s="19">
        <v>13.04</v>
      </c>
      <c r="S28" s="19">
        <v>13.14</v>
      </c>
    </row>
    <row r="29" spans="1:19" x14ac:dyDescent="0.35">
      <c r="A29" s="19" t="s">
        <v>204</v>
      </c>
      <c r="B29" s="19">
        <v>7</v>
      </c>
      <c r="C29" s="19">
        <v>7.06</v>
      </c>
      <c r="D29" s="19">
        <v>6.96</v>
      </c>
      <c r="E29" s="19">
        <v>6.97</v>
      </c>
      <c r="F29" s="19">
        <v>7.08</v>
      </c>
      <c r="G29" s="19">
        <v>7.44</v>
      </c>
      <c r="H29" s="19">
        <v>7.69</v>
      </c>
      <c r="I29" s="19">
        <v>8</v>
      </c>
      <c r="J29" s="19">
        <v>8.5399999999999991</v>
      </c>
      <c r="K29" s="19">
        <v>9.08</v>
      </c>
      <c r="L29" s="19">
        <v>9.75</v>
      </c>
      <c r="M29" s="19">
        <v>10.17</v>
      </c>
      <c r="N29" s="19">
        <v>10.6</v>
      </c>
      <c r="O29" s="19">
        <v>10.64</v>
      </c>
      <c r="P29" s="19">
        <v>11.21</v>
      </c>
      <c r="Q29" s="19">
        <v>11.21</v>
      </c>
      <c r="R29" s="19">
        <v>11.63</v>
      </c>
      <c r="S29" s="19">
        <v>11.34</v>
      </c>
    </row>
    <row r="30" spans="1:19" x14ac:dyDescent="0.35">
      <c r="A30" s="19" t="s">
        <v>209</v>
      </c>
      <c r="B30" s="19">
        <v>6.5</v>
      </c>
      <c r="C30" s="19">
        <v>6.73</v>
      </c>
      <c r="D30" s="19">
        <v>6.87</v>
      </c>
      <c r="E30" s="19">
        <v>6.96</v>
      </c>
      <c r="F30" s="19">
        <v>7.14</v>
      </c>
      <c r="G30" s="19">
        <v>7.41</v>
      </c>
      <c r="H30" s="19">
        <v>7.59</v>
      </c>
      <c r="I30" s="19">
        <v>7.87</v>
      </c>
      <c r="J30" s="19">
        <v>8.52</v>
      </c>
      <c r="K30" s="19">
        <v>8.94</v>
      </c>
      <c r="L30" s="19">
        <v>9.32</v>
      </c>
      <c r="M30" s="19">
        <v>10.039999999999999</v>
      </c>
      <c r="N30" s="19">
        <v>10.31</v>
      </c>
      <c r="O30" s="19">
        <v>10.4</v>
      </c>
      <c r="P30" s="19">
        <v>10.6</v>
      </c>
      <c r="Q30" s="19">
        <v>10.84</v>
      </c>
      <c r="R30" s="19">
        <v>10.97</v>
      </c>
      <c r="S30" s="19">
        <v>10.7</v>
      </c>
    </row>
    <row r="31" spans="1:19" x14ac:dyDescent="0.35">
      <c r="A31" s="19" t="s">
        <v>208</v>
      </c>
      <c r="B31" s="19">
        <v>6.47</v>
      </c>
      <c r="C31" s="19">
        <v>6.39</v>
      </c>
      <c r="D31" s="19">
        <v>6.49</v>
      </c>
      <c r="E31" s="19">
        <v>6.79</v>
      </c>
      <c r="F31" s="19">
        <v>6.99</v>
      </c>
      <c r="G31" s="19">
        <v>7.14</v>
      </c>
      <c r="H31" s="19">
        <v>7.3</v>
      </c>
      <c r="I31" s="19">
        <v>7.51</v>
      </c>
      <c r="J31" s="19">
        <v>7.58</v>
      </c>
      <c r="K31" s="19">
        <v>8.1300000000000008</v>
      </c>
      <c r="L31" s="19">
        <v>8.58</v>
      </c>
      <c r="M31" s="19">
        <v>9.06</v>
      </c>
      <c r="N31" s="19">
        <v>9.1199999999999992</v>
      </c>
      <c r="O31" s="19">
        <v>9.15</v>
      </c>
      <c r="P31" s="19">
        <v>9.6199999999999992</v>
      </c>
      <c r="Q31" s="19">
        <v>10.16</v>
      </c>
      <c r="R31" s="19">
        <v>10.29</v>
      </c>
      <c r="S31" s="19">
        <v>10.25</v>
      </c>
    </row>
    <row r="32" spans="1:19" x14ac:dyDescent="0.35">
      <c r="A32" s="19" t="s">
        <v>221</v>
      </c>
      <c r="B32" s="19">
        <v>7.42</v>
      </c>
      <c r="C32" s="19">
        <v>7.4</v>
      </c>
      <c r="D32" s="19">
        <v>7.47</v>
      </c>
      <c r="E32" s="19">
        <v>7.65</v>
      </c>
      <c r="F32" s="19">
        <v>7.77</v>
      </c>
      <c r="G32" s="19">
        <v>7.83</v>
      </c>
      <c r="H32" s="19">
        <v>8.07</v>
      </c>
      <c r="I32" s="19">
        <v>8.27</v>
      </c>
      <c r="J32" s="19">
        <v>8.49</v>
      </c>
      <c r="K32" s="19">
        <v>8.9700000000000006</v>
      </c>
      <c r="L32" s="19">
        <v>9.35</v>
      </c>
      <c r="M32" s="19">
        <v>10.07</v>
      </c>
      <c r="N32" s="19">
        <v>10.26</v>
      </c>
      <c r="O32" s="19">
        <v>10.47</v>
      </c>
      <c r="P32" s="19">
        <v>11.08</v>
      </c>
      <c r="Q32" s="19">
        <v>11.47</v>
      </c>
      <c r="R32" s="19">
        <v>11.77</v>
      </c>
      <c r="S32" s="19">
        <v>11.59</v>
      </c>
    </row>
    <row r="33" spans="1:19" x14ac:dyDescent="0.35">
      <c r="A33" s="3" t="s">
        <v>314</v>
      </c>
      <c r="B33" s="3">
        <v>8.0500000000000007</v>
      </c>
      <c r="C33" s="3">
        <v>7.91</v>
      </c>
      <c r="D33" s="3">
        <v>8.1</v>
      </c>
      <c r="E33" s="3">
        <v>8.33</v>
      </c>
      <c r="F33" s="3">
        <v>8.83</v>
      </c>
      <c r="G33" s="3">
        <v>9.76</v>
      </c>
      <c r="H33" s="3">
        <v>10.029999999999999</v>
      </c>
      <c r="I33" s="3">
        <v>10.67</v>
      </c>
      <c r="J33" s="3">
        <v>11.32</v>
      </c>
      <c r="K33" s="3">
        <v>10.96</v>
      </c>
      <c r="L33" s="3">
        <v>11.19</v>
      </c>
      <c r="M33" s="3">
        <v>11.38</v>
      </c>
      <c r="N33" s="3">
        <v>11.39</v>
      </c>
      <c r="O33" s="3">
        <v>11.74</v>
      </c>
      <c r="P33" s="3">
        <v>11.74</v>
      </c>
      <c r="Q33" s="3">
        <v>11.56</v>
      </c>
      <c r="R33" s="3">
        <v>11.86</v>
      </c>
      <c r="S33" s="3">
        <v>11.7</v>
      </c>
    </row>
    <row r="34" spans="1:19" x14ac:dyDescent="0.35">
      <c r="A34" s="19" t="s">
        <v>189</v>
      </c>
      <c r="B34" s="19">
        <v>8.61</v>
      </c>
      <c r="C34" s="19">
        <v>8.6999999999999993</v>
      </c>
      <c r="D34" s="19">
        <v>8.59</v>
      </c>
      <c r="E34" s="19">
        <v>8.7799999999999994</v>
      </c>
      <c r="F34" s="19">
        <v>9.01</v>
      </c>
      <c r="G34" s="19">
        <v>11.85</v>
      </c>
      <c r="H34" s="19">
        <v>13.16</v>
      </c>
      <c r="I34" s="19">
        <v>13.93</v>
      </c>
      <c r="J34" s="19">
        <v>14.07</v>
      </c>
      <c r="K34" s="19">
        <v>13.8</v>
      </c>
      <c r="L34" s="19">
        <v>13.7</v>
      </c>
      <c r="M34" s="19">
        <v>13.58</v>
      </c>
      <c r="N34" s="19">
        <v>12.95</v>
      </c>
      <c r="O34" s="19">
        <v>13.29</v>
      </c>
      <c r="P34" s="19">
        <v>13.42</v>
      </c>
      <c r="Q34" s="19">
        <v>13.42</v>
      </c>
      <c r="R34" s="19">
        <v>13.35</v>
      </c>
      <c r="S34" s="19">
        <v>12.53</v>
      </c>
    </row>
    <row r="35" spans="1:19" x14ac:dyDescent="0.35">
      <c r="A35" s="19" t="s">
        <v>315</v>
      </c>
      <c r="B35" s="19">
        <v>7.79</v>
      </c>
      <c r="C35" s="19">
        <v>7.98</v>
      </c>
      <c r="D35" s="19">
        <v>7.84</v>
      </c>
      <c r="E35" s="19">
        <v>8</v>
      </c>
      <c r="F35" s="19">
        <v>9.1</v>
      </c>
      <c r="G35" s="19">
        <v>9.8800000000000008</v>
      </c>
      <c r="H35" s="19">
        <v>11.18</v>
      </c>
      <c r="I35" s="19">
        <v>12.78</v>
      </c>
      <c r="J35" s="19">
        <v>13.73</v>
      </c>
      <c r="K35" s="19">
        <v>14.01</v>
      </c>
      <c r="L35" s="19">
        <v>13.4</v>
      </c>
      <c r="M35" s="19">
        <v>12.28</v>
      </c>
      <c r="N35" s="19">
        <v>12.57</v>
      </c>
      <c r="O35" s="19">
        <v>12.74</v>
      </c>
      <c r="P35" s="19">
        <v>12.99</v>
      </c>
      <c r="Q35" s="19">
        <v>12.29</v>
      </c>
      <c r="R35" s="19">
        <v>12.94</v>
      </c>
      <c r="S35" s="19">
        <v>12.84</v>
      </c>
    </row>
    <row r="36" spans="1:19" x14ac:dyDescent="0.35">
      <c r="A36" s="19" t="s">
        <v>190</v>
      </c>
      <c r="B36" s="19">
        <v>8.59</v>
      </c>
      <c r="C36" s="19">
        <v>8.16</v>
      </c>
      <c r="D36" s="19">
        <v>8.5500000000000007</v>
      </c>
      <c r="E36" s="19">
        <v>8.99</v>
      </c>
      <c r="F36" s="19">
        <v>9.6199999999999992</v>
      </c>
      <c r="G36" s="19">
        <v>11.33</v>
      </c>
      <c r="H36" s="19">
        <v>11.22</v>
      </c>
      <c r="I36" s="19">
        <v>11.65</v>
      </c>
      <c r="J36" s="19">
        <v>12.39</v>
      </c>
      <c r="K36" s="19">
        <v>11.44</v>
      </c>
      <c r="L36" s="19">
        <v>11.51</v>
      </c>
      <c r="M36" s="19">
        <v>11.42</v>
      </c>
      <c r="N36" s="19">
        <v>11.27</v>
      </c>
      <c r="O36" s="19">
        <v>11.89</v>
      </c>
      <c r="P36" s="19">
        <v>11.58</v>
      </c>
      <c r="Q36" s="19">
        <v>10.98</v>
      </c>
      <c r="R36" s="19">
        <v>11.61</v>
      </c>
      <c r="S36" s="19">
        <v>11.54</v>
      </c>
    </row>
    <row r="37" spans="1:19" x14ac:dyDescent="0.35">
      <c r="A37" s="19" t="s">
        <v>191</v>
      </c>
      <c r="B37" s="19">
        <v>7.72</v>
      </c>
      <c r="C37" s="19">
        <v>7.63</v>
      </c>
      <c r="D37" s="19">
        <v>7.7</v>
      </c>
      <c r="E37" s="19">
        <v>7.86</v>
      </c>
      <c r="F37" s="19">
        <v>8.64</v>
      </c>
      <c r="G37" s="19">
        <v>8.91</v>
      </c>
      <c r="H37" s="19">
        <v>9.1</v>
      </c>
      <c r="I37" s="19">
        <v>9.93</v>
      </c>
      <c r="J37" s="19">
        <v>10.130000000000001</v>
      </c>
      <c r="K37" s="19">
        <v>10.07</v>
      </c>
      <c r="L37" s="19">
        <v>11.05</v>
      </c>
      <c r="M37" s="19">
        <v>11.17</v>
      </c>
      <c r="N37" s="19">
        <v>11.46</v>
      </c>
      <c r="O37" s="19">
        <v>11.65</v>
      </c>
      <c r="P37" s="19">
        <v>11.54</v>
      </c>
      <c r="Q37" s="19">
        <v>11.5</v>
      </c>
      <c r="R37" s="19">
        <v>11.9</v>
      </c>
      <c r="S37" s="19">
        <v>11.47</v>
      </c>
    </row>
    <row r="38" spans="1:19" x14ac:dyDescent="0.35">
      <c r="A38" s="19" t="s">
        <v>200</v>
      </c>
      <c r="B38" s="19">
        <v>7.67</v>
      </c>
      <c r="C38" s="19">
        <v>7.74</v>
      </c>
      <c r="D38" s="19">
        <v>7.73</v>
      </c>
      <c r="E38" s="19">
        <v>7.8</v>
      </c>
      <c r="F38" s="19">
        <v>8.4600000000000009</v>
      </c>
      <c r="G38" s="19">
        <v>9.7100000000000009</v>
      </c>
      <c r="H38" s="19">
        <v>11.89</v>
      </c>
      <c r="I38" s="19">
        <v>13.84</v>
      </c>
      <c r="J38" s="19">
        <v>14.98</v>
      </c>
      <c r="K38" s="19">
        <v>14.32</v>
      </c>
      <c r="L38" s="19">
        <v>13.31</v>
      </c>
      <c r="M38" s="19">
        <v>12.84</v>
      </c>
      <c r="N38" s="19">
        <v>13.25</v>
      </c>
      <c r="O38" s="19">
        <v>13.63</v>
      </c>
      <c r="P38" s="19">
        <v>13.82</v>
      </c>
      <c r="Q38" s="19">
        <v>14.23</v>
      </c>
      <c r="R38" s="19">
        <v>13.96</v>
      </c>
      <c r="S38" s="19">
        <v>13.3</v>
      </c>
    </row>
    <row r="39" spans="1:19" x14ac:dyDescent="0.35">
      <c r="A39" s="19" t="s">
        <v>207</v>
      </c>
      <c r="B39" s="19">
        <v>8.1199999999999992</v>
      </c>
      <c r="C39" s="19">
        <v>8.19</v>
      </c>
      <c r="D39" s="19">
        <v>8.32</v>
      </c>
      <c r="E39" s="19">
        <v>8.4499999999999993</v>
      </c>
      <c r="F39" s="19">
        <v>8.65</v>
      </c>
      <c r="G39" s="19">
        <v>9.1199999999999992</v>
      </c>
      <c r="H39" s="19">
        <v>9.4</v>
      </c>
      <c r="I39" s="19">
        <v>9.52</v>
      </c>
      <c r="J39" s="19">
        <v>9.99</v>
      </c>
      <c r="K39" s="19">
        <v>10.119999999999999</v>
      </c>
      <c r="L39" s="19">
        <v>10.26</v>
      </c>
      <c r="M39" s="19">
        <v>10.91</v>
      </c>
      <c r="N39" s="19">
        <v>10.97</v>
      </c>
      <c r="O39" s="19">
        <v>11.1</v>
      </c>
      <c r="P39" s="19">
        <v>11.28</v>
      </c>
      <c r="Q39" s="19">
        <v>11.03</v>
      </c>
      <c r="R39" s="19">
        <v>10.94</v>
      </c>
      <c r="S39" s="19">
        <v>11.09</v>
      </c>
    </row>
    <row r="40" spans="1:19" x14ac:dyDescent="0.35">
      <c r="A40" s="19" t="s">
        <v>220</v>
      </c>
      <c r="B40" s="19">
        <v>7.69</v>
      </c>
      <c r="C40" s="19">
        <v>7.72</v>
      </c>
      <c r="D40" s="19">
        <v>8.01</v>
      </c>
      <c r="E40" s="19">
        <v>8.1199999999999992</v>
      </c>
      <c r="F40" s="19">
        <v>8.67</v>
      </c>
      <c r="G40" s="19">
        <v>9.0299999999999994</v>
      </c>
      <c r="H40" s="19">
        <v>9.19</v>
      </c>
      <c r="I40" s="19">
        <v>9.89</v>
      </c>
      <c r="J40" s="19">
        <v>10.44</v>
      </c>
      <c r="K40" s="19">
        <v>10.5</v>
      </c>
      <c r="L40" s="19">
        <v>11.05</v>
      </c>
      <c r="M40" s="19">
        <v>11.77</v>
      </c>
      <c r="N40" s="19">
        <v>11.99</v>
      </c>
      <c r="O40" s="19">
        <v>12.45</v>
      </c>
      <c r="P40" s="19">
        <v>12.57</v>
      </c>
      <c r="Q40" s="19">
        <v>12.65</v>
      </c>
      <c r="R40" s="19">
        <v>13.02</v>
      </c>
      <c r="S40" s="19">
        <v>12.44</v>
      </c>
    </row>
    <row r="41" spans="1:19" x14ac:dyDescent="0.35">
      <c r="A41" s="19" t="s">
        <v>224</v>
      </c>
      <c r="B41" s="19">
        <v>7.79</v>
      </c>
      <c r="C41" s="19">
        <v>7.79</v>
      </c>
      <c r="D41" s="19">
        <v>7.76</v>
      </c>
      <c r="E41" s="19">
        <v>7.99</v>
      </c>
      <c r="F41" s="19">
        <v>8.16</v>
      </c>
      <c r="G41" s="19">
        <v>8.49</v>
      </c>
      <c r="H41" s="19">
        <v>8.74</v>
      </c>
      <c r="I41" s="19">
        <v>9.6199999999999992</v>
      </c>
      <c r="J41" s="19">
        <v>10.61</v>
      </c>
      <c r="K41" s="19">
        <v>10.45</v>
      </c>
      <c r="L41" s="19">
        <v>10.64</v>
      </c>
      <c r="M41" s="19">
        <v>11.08</v>
      </c>
      <c r="N41" s="19">
        <v>10.84</v>
      </c>
      <c r="O41" s="19">
        <v>11.1</v>
      </c>
      <c r="P41" s="19">
        <v>11.37</v>
      </c>
      <c r="Q41" s="19">
        <v>11.36</v>
      </c>
      <c r="R41" s="19">
        <v>11.55</v>
      </c>
      <c r="S41" s="19">
        <v>11.73</v>
      </c>
    </row>
    <row r="42" spans="1:19" x14ac:dyDescent="0.35">
      <c r="A42" s="19" t="s">
        <v>228</v>
      </c>
      <c r="B42" s="19">
        <v>6.26</v>
      </c>
      <c r="C42" s="19">
        <v>6.23</v>
      </c>
      <c r="D42" s="19">
        <v>6.24</v>
      </c>
      <c r="E42" s="19">
        <v>6.23</v>
      </c>
      <c r="F42" s="19">
        <v>6.21</v>
      </c>
      <c r="G42" s="19">
        <v>6.35</v>
      </c>
      <c r="H42" s="19">
        <v>6.73</v>
      </c>
      <c r="I42" s="19">
        <v>7.06</v>
      </c>
      <c r="J42" s="19">
        <v>7.9</v>
      </c>
      <c r="K42" s="19">
        <v>8.7899999999999991</v>
      </c>
      <c r="L42" s="19">
        <v>9.39</v>
      </c>
      <c r="M42" s="19">
        <v>9.85</v>
      </c>
      <c r="N42" s="19">
        <v>9.52</v>
      </c>
      <c r="O42" s="19">
        <v>9.34</v>
      </c>
      <c r="P42" s="19">
        <v>10.08</v>
      </c>
      <c r="Q42" s="19">
        <v>11.44</v>
      </c>
      <c r="R42" s="19">
        <v>11.63</v>
      </c>
      <c r="S42" s="19">
        <v>11.18</v>
      </c>
    </row>
    <row r="43" spans="1:19" x14ac:dyDescent="0.35">
      <c r="A43" s="3" t="s">
        <v>316</v>
      </c>
      <c r="B43" s="3">
        <v>6.51</v>
      </c>
      <c r="C43" s="3">
        <v>6.57</v>
      </c>
      <c r="D43" s="3">
        <v>6.78</v>
      </c>
      <c r="E43" s="3">
        <v>7.12</v>
      </c>
      <c r="F43" s="3">
        <v>7.42</v>
      </c>
      <c r="G43" s="3">
        <v>8.16</v>
      </c>
      <c r="H43" s="3">
        <v>8.35</v>
      </c>
      <c r="I43" s="3">
        <v>9.32</v>
      </c>
      <c r="J43" s="3">
        <v>9.61</v>
      </c>
      <c r="K43" s="3">
        <v>9.58</v>
      </c>
      <c r="L43" s="3">
        <v>10.14</v>
      </c>
      <c r="M43" s="3">
        <v>10.32</v>
      </c>
      <c r="N43" s="3">
        <v>10.4</v>
      </c>
      <c r="O43" s="3">
        <v>10.76</v>
      </c>
      <c r="P43" s="3">
        <v>10.82</v>
      </c>
      <c r="Q43" s="3">
        <v>10.86</v>
      </c>
      <c r="R43" s="3">
        <v>11.3</v>
      </c>
      <c r="S43" s="3">
        <v>11.14</v>
      </c>
    </row>
    <row r="44" spans="1:19" x14ac:dyDescent="0.35">
      <c r="A44" s="19" t="s">
        <v>183</v>
      </c>
      <c r="B44" s="19">
        <v>7.01</v>
      </c>
      <c r="C44" s="19">
        <v>7.12</v>
      </c>
      <c r="D44" s="19">
        <v>7.39</v>
      </c>
      <c r="E44" s="19">
        <v>7.62</v>
      </c>
      <c r="F44" s="19">
        <v>8</v>
      </c>
      <c r="G44" s="19">
        <v>8.75</v>
      </c>
      <c r="H44" s="19">
        <v>9.32</v>
      </c>
      <c r="I44" s="19">
        <v>10.4</v>
      </c>
      <c r="J44" s="19">
        <v>10.66</v>
      </c>
      <c r="K44" s="19">
        <v>10.67</v>
      </c>
      <c r="L44" s="19">
        <v>11.09</v>
      </c>
      <c r="M44" s="19">
        <v>11.4</v>
      </c>
      <c r="N44" s="19">
        <v>11.26</v>
      </c>
      <c r="O44" s="19">
        <v>11.48</v>
      </c>
      <c r="P44" s="19">
        <v>11.7</v>
      </c>
      <c r="Q44" s="19">
        <v>11.99</v>
      </c>
      <c r="R44" s="19">
        <v>12.55</v>
      </c>
      <c r="S44" s="19">
        <v>12.18</v>
      </c>
    </row>
    <row r="45" spans="1:19" x14ac:dyDescent="0.35">
      <c r="A45" s="19" t="s">
        <v>197</v>
      </c>
      <c r="B45" s="19">
        <v>5.58</v>
      </c>
      <c r="C45" s="19">
        <v>5.65</v>
      </c>
      <c r="D45" s="19">
        <v>5.81</v>
      </c>
      <c r="E45" s="19">
        <v>6.11</v>
      </c>
      <c r="F45" s="19">
        <v>6.57</v>
      </c>
      <c r="G45" s="19">
        <v>7.02</v>
      </c>
      <c r="H45" s="19">
        <v>7.34</v>
      </c>
      <c r="I45" s="19">
        <v>7.94</v>
      </c>
      <c r="J45" s="19">
        <v>8.3699999999999992</v>
      </c>
      <c r="K45" s="19">
        <v>8.57</v>
      </c>
      <c r="L45" s="19">
        <v>9.1999999999999993</v>
      </c>
      <c r="M45" s="19">
        <v>9.43</v>
      </c>
      <c r="N45" s="19">
        <v>9.7899999999999991</v>
      </c>
      <c r="O45" s="19">
        <v>10.16</v>
      </c>
      <c r="P45" s="19">
        <v>10.24</v>
      </c>
      <c r="Q45" s="19">
        <v>10.49</v>
      </c>
      <c r="R45" s="19">
        <v>10.85</v>
      </c>
      <c r="S45" s="19">
        <v>10.6</v>
      </c>
    </row>
    <row r="46" spans="1:19" x14ac:dyDescent="0.35">
      <c r="A46" s="19" t="s">
        <v>205</v>
      </c>
      <c r="B46" s="19">
        <v>7.37</v>
      </c>
      <c r="C46" s="19">
        <v>7.28</v>
      </c>
      <c r="D46" s="19">
        <v>7.6</v>
      </c>
      <c r="E46" s="19">
        <v>8.2100000000000009</v>
      </c>
      <c r="F46" s="19">
        <v>8.7100000000000009</v>
      </c>
      <c r="G46" s="19">
        <v>9.66</v>
      </c>
      <c r="H46" s="19">
        <v>9.36</v>
      </c>
      <c r="I46" s="19">
        <v>10.39</v>
      </c>
      <c r="J46" s="19">
        <v>10.220000000000001</v>
      </c>
      <c r="K46" s="19">
        <v>9.8699999999999992</v>
      </c>
      <c r="L46" s="19">
        <v>10.17</v>
      </c>
      <c r="M46" s="19">
        <v>10.26</v>
      </c>
      <c r="N46" s="19">
        <v>10.78</v>
      </c>
      <c r="O46" s="19">
        <v>11.32</v>
      </c>
      <c r="P46" s="19">
        <v>11.27</v>
      </c>
      <c r="Q46" s="19">
        <v>10.47</v>
      </c>
      <c r="R46" s="19">
        <v>11.08</v>
      </c>
      <c r="S46" s="19">
        <v>11.12</v>
      </c>
    </row>
    <row r="47" spans="1:19" x14ac:dyDescent="0.35">
      <c r="A47" s="19" t="s">
        <v>222</v>
      </c>
      <c r="B47" s="19">
        <v>6.32</v>
      </c>
      <c r="C47" s="19">
        <v>6.41</v>
      </c>
      <c r="D47" s="19">
        <v>6.55</v>
      </c>
      <c r="E47" s="19">
        <v>6.9</v>
      </c>
      <c r="F47" s="19">
        <v>6.98</v>
      </c>
      <c r="G47" s="19">
        <v>7.75</v>
      </c>
      <c r="H47" s="19">
        <v>7.84</v>
      </c>
      <c r="I47" s="19">
        <v>8.91</v>
      </c>
      <c r="J47" s="19">
        <v>9.32</v>
      </c>
      <c r="K47" s="19">
        <v>9.23</v>
      </c>
      <c r="L47" s="19">
        <v>9.98</v>
      </c>
      <c r="M47" s="19">
        <v>10.1</v>
      </c>
      <c r="N47" s="19">
        <v>9.98</v>
      </c>
      <c r="O47" s="19">
        <v>10.32</v>
      </c>
      <c r="P47" s="19">
        <v>10.3</v>
      </c>
      <c r="Q47" s="19">
        <v>10.41</v>
      </c>
      <c r="R47" s="19">
        <v>10.72</v>
      </c>
      <c r="S47" s="19">
        <v>10.71</v>
      </c>
    </row>
    <row r="48" spans="1:19" x14ac:dyDescent="0.35">
      <c r="A48" s="3" t="s">
        <v>317</v>
      </c>
      <c r="B48" s="3">
        <v>8.4499999999999993</v>
      </c>
      <c r="C48" s="3">
        <v>7.7</v>
      </c>
      <c r="D48" s="3">
        <v>8.61</v>
      </c>
      <c r="E48" s="3">
        <v>9.0500000000000007</v>
      </c>
      <c r="F48" s="3">
        <v>10.039999999999999</v>
      </c>
      <c r="G48" s="3">
        <v>11.48</v>
      </c>
      <c r="H48" s="3">
        <v>11.15</v>
      </c>
      <c r="I48" s="3">
        <v>11.86</v>
      </c>
      <c r="J48" s="3">
        <v>11.04</v>
      </c>
      <c r="K48" s="3">
        <v>10.67</v>
      </c>
      <c r="L48" s="3">
        <v>10.42</v>
      </c>
      <c r="M48" s="3">
        <v>10.3</v>
      </c>
      <c r="N48" s="3">
        <v>10.74</v>
      </c>
      <c r="O48" s="3">
        <v>11.12</v>
      </c>
      <c r="P48" s="3">
        <v>10.95</v>
      </c>
      <c r="Q48" s="3">
        <v>10.59</v>
      </c>
      <c r="R48" s="3">
        <v>10.74</v>
      </c>
      <c r="S48" s="3">
        <v>10.77</v>
      </c>
    </row>
    <row r="49" spans="1:19" x14ac:dyDescent="0.35">
      <c r="A49" s="19" t="s">
        <v>184</v>
      </c>
      <c r="B49" s="19">
        <v>7.72</v>
      </c>
      <c r="C49" s="19">
        <v>7.25</v>
      </c>
      <c r="D49" s="19">
        <v>7.24</v>
      </c>
      <c r="E49" s="19">
        <v>7.36</v>
      </c>
      <c r="F49" s="19">
        <v>8</v>
      </c>
      <c r="G49" s="19">
        <v>8.85</v>
      </c>
      <c r="H49" s="19">
        <v>8.73</v>
      </c>
      <c r="I49" s="19">
        <v>9.27</v>
      </c>
      <c r="J49" s="19">
        <v>9.14</v>
      </c>
      <c r="K49" s="19">
        <v>8.86</v>
      </c>
      <c r="L49" s="19">
        <v>9.02</v>
      </c>
      <c r="M49" s="19">
        <v>9.3000000000000007</v>
      </c>
      <c r="N49" s="19">
        <v>9.59</v>
      </c>
      <c r="O49" s="19">
        <v>9.51</v>
      </c>
      <c r="P49" s="19">
        <v>9.82</v>
      </c>
      <c r="Q49" s="19">
        <v>9.92</v>
      </c>
      <c r="R49" s="19">
        <v>10.28</v>
      </c>
      <c r="S49" s="19">
        <v>9.81</v>
      </c>
    </row>
    <row r="50" spans="1:19" x14ac:dyDescent="0.35">
      <c r="A50" s="19" t="s">
        <v>198</v>
      </c>
      <c r="B50" s="19">
        <v>7.92</v>
      </c>
      <c r="C50" s="19">
        <v>7.1</v>
      </c>
      <c r="D50" s="19">
        <v>7.84</v>
      </c>
      <c r="E50" s="19">
        <v>8.0500000000000007</v>
      </c>
      <c r="F50" s="19">
        <v>8.8699999999999992</v>
      </c>
      <c r="G50" s="19">
        <v>9.14</v>
      </c>
      <c r="H50" s="19">
        <v>9.3699999999999992</v>
      </c>
      <c r="I50" s="19">
        <v>10.28</v>
      </c>
      <c r="J50" s="19">
        <v>8.1</v>
      </c>
      <c r="K50" s="19">
        <v>8.98</v>
      </c>
      <c r="L50" s="19">
        <v>8.9600000000000009</v>
      </c>
      <c r="M50" s="19">
        <v>8.3699999999999992</v>
      </c>
      <c r="N50" s="19">
        <v>9.43</v>
      </c>
      <c r="O50" s="19">
        <v>9.57</v>
      </c>
      <c r="P50" s="19">
        <v>9.33</v>
      </c>
      <c r="Q50" s="19">
        <v>9.34</v>
      </c>
      <c r="R50" s="19">
        <v>9.74</v>
      </c>
      <c r="S50" s="19">
        <v>9.59</v>
      </c>
    </row>
    <row r="51" spans="1:19" x14ac:dyDescent="0.35">
      <c r="A51" s="19" t="s">
        <v>216</v>
      </c>
      <c r="B51" s="19">
        <v>7.27</v>
      </c>
      <c r="C51" s="19">
        <v>6.73</v>
      </c>
      <c r="D51" s="19">
        <v>7.47</v>
      </c>
      <c r="E51" s="19">
        <v>7.72</v>
      </c>
      <c r="F51" s="19">
        <v>7.95</v>
      </c>
      <c r="G51" s="19">
        <v>8.5500000000000007</v>
      </c>
      <c r="H51" s="19">
        <v>8.58</v>
      </c>
      <c r="I51" s="19">
        <v>9.09</v>
      </c>
      <c r="J51" s="19">
        <v>8.49</v>
      </c>
      <c r="K51" s="19">
        <v>9.14</v>
      </c>
      <c r="L51" s="19">
        <v>9.4700000000000006</v>
      </c>
      <c r="M51" s="19">
        <v>9.51</v>
      </c>
      <c r="N51" s="19">
        <v>9.67</v>
      </c>
      <c r="O51" s="19">
        <v>10.029999999999999</v>
      </c>
      <c r="P51" s="19">
        <v>10.14</v>
      </c>
      <c r="Q51" s="19">
        <v>10.199999999999999</v>
      </c>
      <c r="R51" s="19">
        <v>10.61</v>
      </c>
      <c r="S51" s="19">
        <v>10.3</v>
      </c>
    </row>
    <row r="52" spans="1:19" x14ac:dyDescent="0.35">
      <c r="A52" s="19" t="s">
        <v>15</v>
      </c>
      <c r="B52" s="19">
        <v>8.86</v>
      </c>
      <c r="C52" s="19">
        <v>8.0500000000000007</v>
      </c>
      <c r="D52" s="19">
        <v>9.16</v>
      </c>
      <c r="E52" s="19">
        <v>9.73</v>
      </c>
      <c r="F52" s="19">
        <v>10.93</v>
      </c>
      <c r="G52" s="19">
        <v>12.86</v>
      </c>
      <c r="H52" s="19">
        <v>12.34</v>
      </c>
      <c r="I52" s="19">
        <v>13.03</v>
      </c>
      <c r="J52" s="19">
        <v>12.38</v>
      </c>
      <c r="K52" s="19">
        <v>11.6</v>
      </c>
      <c r="L52" s="19">
        <v>11.08</v>
      </c>
      <c r="M52" s="19">
        <v>10.98</v>
      </c>
      <c r="N52" s="19">
        <v>11.35</v>
      </c>
      <c r="O52" s="19">
        <v>11.86</v>
      </c>
      <c r="P52" s="19">
        <v>11.56</v>
      </c>
      <c r="Q52" s="19">
        <v>10.99</v>
      </c>
      <c r="R52" s="19">
        <v>11.01</v>
      </c>
      <c r="S52" s="19">
        <v>11.2</v>
      </c>
    </row>
    <row r="53" spans="1:19" x14ac:dyDescent="0.35">
      <c r="A53" s="3" t="s">
        <v>318</v>
      </c>
      <c r="B53" s="3">
        <v>7.8</v>
      </c>
      <c r="C53" s="3">
        <v>7.87</v>
      </c>
      <c r="D53" s="3">
        <v>8.02</v>
      </c>
      <c r="E53" s="3">
        <v>8.24</v>
      </c>
      <c r="F53" s="3">
        <v>8.67</v>
      </c>
      <c r="G53" s="3">
        <v>8.98</v>
      </c>
      <c r="H53" s="3">
        <v>9.31</v>
      </c>
      <c r="I53" s="3">
        <v>9.84</v>
      </c>
      <c r="J53" s="3">
        <v>10.18</v>
      </c>
      <c r="K53" s="3">
        <v>10.49</v>
      </c>
      <c r="L53" s="3">
        <v>10.56</v>
      </c>
      <c r="M53" s="3">
        <v>10.94</v>
      </c>
      <c r="N53" s="3">
        <v>11.31</v>
      </c>
      <c r="O53" s="3">
        <v>11.67</v>
      </c>
      <c r="P53" s="3">
        <v>11.83</v>
      </c>
      <c r="Q53" s="3">
        <v>11.65</v>
      </c>
      <c r="R53" s="3">
        <v>11.89</v>
      </c>
      <c r="S53" s="3">
        <v>11.94</v>
      </c>
    </row>
    <row r="54" spans="1:19" x14ac:dyDescent="0.35">
      <c r="A54" s="19" t="s">
        <v>185</v>
      </c>
      <c r="B54" s="19">
        <v>8.3000000000000007</v>
      </c>
      <c r="C54" s="19">
        <v>8.27</v>
      </c>
      <c r="D54" s="19">
        <v>8.35</v>
      </c>
      <c r="E54" s="19">
        <v>8.4600000000000009</v>
      </c>
      <c r="F54" s="19">
        <v>8.86</v>
      </c>
      <c r="G54" s="19">
        <v>9.4</v>
      </c>
      <c r="H54" s="19">
        <v>9.66</v>
      </c>
      <c r="I54" s="19">
        <v>10.27</v>
      </c>
      <c r="J54" s="19">
        <v>10.73</v>
      </c>
      <c r="K54" s="19">
        <v>10.97</v>
      </c>
      <c r="L54" s="19">
        <v>11.08</v>
      </c>
      <c r="M54" s="19">
        <v>11.29</v>
      </c>
      <c r="N54" s="19">
        <v>11.71</v>
      </c>
      <c r="O54" s="19">
        <v>11.9</v>
      </c>
      <c r="P54" s="19">
        <v>12.13</v>
      </c>
      <c r="Q54" s="19">
        <v>12.15</v>
      </c>
      <c r="R54" s="19">
        <v>12.44</v>
      </c>
      <c r="S54" s="19">
        <v>12.77</v>
      </c>
    </row>
    <row r="55" spans="1:19" x14ac:dyDescent="0.35">
      <c r="A55" s="19" t="s">
        <v>186</v>
      </c>
      <c r="B55" s="19">
        <v>7.47</v>
      </c>
      <c r="C55" s="19">
        <v>7.37</v>
      </c>
      <c r="D55" s="19">
        <v>8.14</v>
      </c>
      <c r="E55" s="19">
        <v>8.42</v>
      </c>
      <c r="F55" s="19">
        <v>9.06</v>
      </c>
      <c r="G55" s="19">
        <v>9.02</v>
      </c>
      <c r="H55" s="19">
        <v>9.25</v>
      </c>
      <c r="I55" s="19">
        <v>10.130000000000001</v>
      </c>
      <c r="J55" s="19">
        <v>10</v>
      </c>
      <c r="K55" s="19">
        <v>11.04</v>
      </c>
      <c r="L55" s="19">
        <v>11.27</v>
      </c>
      <c r="M55" s="19">
        <v>11.46</v>
      </c>
      <c r="N55" s="19">
        <v>11.93</v>
      </c>
      <c r="O55" s="19">
        <v>12.18</v>
      </c>
      <c r="P55" s="19">
        <v>12.12</v>
      </c>
      <c r="Q55" s="19">
        <v>12.07</v>
      </c>
      <c r="R55" s="19">
        <v>12.17</v>
      </c>
      <c r="S55" s="19">
        <v>12.15</v>
      </c>
    </row>
    <row r="56" spans="1:19" x14ac:dyDescent="0.35">
      <c r="A56" s="19" t="s">
        <v>193</v>
      </c>
      <c r="B56" s="19">
        <v>6.01</v>
      </c>
      <c r="C56" s="19">
        <v>6.59</v>
      </c>
      <c r="D56" s="19">
        <v>6.24</v>
      </c>
      <c r="E56" s="19">
        <v>6.1</v>
      </c>
      <c r="F56" s="19">
        <v>6.29</v>
      </c>
      <c r="G56" s="19">
        <v>6.21</v>
      </c>
      <c r="H56" s="19">
        <v>6.36</v>
      </c>
      <c r="I56" s="19">
        <v>6.99</v>
      </c>
      <c r="J56" s="19">
        <v>7.8</v>
      </c>
      <c r="K56" s="19">
        <v>7.99</v>
      </c>
      <c r="L56" s="19">
        <v>7.87</v>
      </c>
      <c r="M56" s="19">
        <v>8.67</v>
      </c>
      <c r="N56" s="19">
        <v>9.32</v>
      </c>
      <c r="O56" s="19">
        <v>9.7200000000000006</v>
      </c>
      <c r="P56" s="19">
        <v>9.93</v>
      </c>
      <c r="Q56" s="19">
        <v>9.9499999999999993</v>
      </c>
      <c r="R56" s="19">
        <v>10.039999999999999</v>
      </c>
      <c r="S56" s="19">
        <v>10.15</v>
      </c>
    </row>
    <row r="57" spans="1:19" x14ac:dyDescent="0.35">
      <c r="A57" s="19" t="s">
        <v>206</v>
      </c>
      <c r="B57" s="19">
        <v>6.88</v>
      </c>
      <c r="C57" s="19">
        <v>7.23</v>
      </c>
      <c r="D57" s="19">
        <v>7.56</v>
      </c>
      <c r="E57" s="19">
        <v>7.86</v>
      </c>
      <c r="F57" s="19">
        <v>8.1</v>
      </c>
      <c r="G57" s="19">
        <v>8.2799999999999994</v>
      </c>
      <c r="H57" s="19">
        <v>8.77</v>
      </c>
      <c r="I57" s="19">
        <v>9.1300000000000008</v>
      </c>
      <c r="J57" s="19">
        <v>8.94</v>
      </c>
      <c r="K57" s="19">
        <v>9.16</v>
      </c>
      <c r="L57" s="19">
        <v>9.75</v>
      </c>
      <c r="M57" s="19">
        <v>10.08</v>
      </c>
      <c r="N57" s="19">
        <v>10.33</v>
      </c>
      <c r="O57" s="19">
        <v>10.18</v>
      </c>
      <c r="P57" s="19">
        <v>10.88</v>
      </c>
      <c r="Q57" s="19">
        <v>10.94</v>
      </c>
      <c r="R57" s="19">
        <v>10.95</v>
      </c>
      <c r="S57" s="19">
        <v>10.96</v>
      </c>
    </row>
    <row r="58" spans="1:19" x14ac:dyDescent="0.35">
      <c r="A58" s="19" t="s">
        <v>213</v>
      </c>
      <c r="B58" s="19">
        <v>9.08</v>
      </c>
      <c r="C58" s="19">
        <v>9.43</v>
      </c>
      <c r="D58" s="19">
        <v>9.02</v>
      </c>
      <c r="E58" s="19">
        <v>9.69</v>
      </c>
      <c r="F58" s="19">
        <v>10.199999999999999</v>
      </c>
      <c r="G58" s="19">
        <v>11.08</v>
      </c>
      <c r="H58" s="19">
        <v>11.82</v>
      </c>
      <c r="I58" s="19">
        <v>11.93</v>
      </c>
      <c r="J58" s="19">
        <v>12.86</v>
      </c>
      <c r="K58" s="19">
        <v>12.36</v>
      </c>
      <c r="L58" s="19">
        <v>11.61</v>
      </c>
      <c r="M58" s="19">
        <v>11.83</v>
      </c>
      <c r="N58" s="19">
        <v>11.89</v>
      </c>
      <c r="O58" s="19">
        <v>12.93</v>
      </c>
      <c r="P58" s="19">
        <v>12.76</v>
      </c>
      <c r="Q58" s="19">
        <v>11.41</v>
      </c>
      <c r="R58" s="19">
        <v>11.99</v>
      </c>
      <c r="S58" s="19">
        <v>11.85</v>
      </c>
    </row>
    <row r="59" spans="1:19" x14ac:dyDescent="0.35">
      <c r="A59" s="19" t="s">
        <v>212</v>
      </c>
      <c r="B59" s="19">
        <v>8.74</v>
      </c>
      <c r="C59" s="19">
        <v>8.5</v>
      </c>
      <c r="D59" s="19">
        <v>8.69</v>
      </c>
      <c r="E59" s="19">
        <v>8.67</v>
      </c>
      <c r="F59" s="19">
        <v>9.1300000000000008</v>
      </c>
      <c r="G59" s="19">
        <v>9.06</v>
      </c>
      <c r="H59" s="19">
        <v>9.1199999999999992</v>
      </c>
      <c r="I59" s="19">
        <v>10.01</v>
      </c>
      <c r="J59" s="19">
        <v>10.02</v>
      </c>
      <c r="K59" s="19">
        <v>10.52</v>
      </c>
      <c r="L59" s="19">
        <v>11</v>
      </c>
      <c r="M59" s="19">
        <v>11.37</v>
      </c>
      <c r="N59" s="19">
        <v>11.68</v>
      </c>
      <c r="O59" s="19">
        <v>12.28</v>
      </c>
      <c r="P59" s="19">
        <v>12.47</v>
      </c>
      <c r="Q59" s="19">
        <v>12.03</v>
      </c>
      <c r="R59" s="19">
        <v>12.88</v>
      </c>
      <c r="S59" s="19">
        <v>12.68</v>
      </c>
    </row>
    <row r="60" spans="1:19" x14ac:dyDescent="0.35">
      <c r="A60" s="19" t="s">
        <v>223</v>
      </c>
      <c r="B60" s="19">
        <v>6.72</v>
      </c>
      <c r="C60" s="19">
        <v>6.79</v>
      </c>
      <c r="D60" s="19">
        <v>6.9</v>
      </c>
      <c r="E60" s="19">
        <v>7.21</v>
      </c>
      <c r="F60" s="19">
        <v>7.52</v>
      </c>
      <c r="G60" s="19">
        <v>7.59</v>
      </c>
      <c r="H60" s="19">
        <v>8.15</v>
      </c>
      <c r="I60" s="19">
        <v>8.26</v>
      </c>
      <c r="J60" s="19">
        <v>8.48</v>
      </c>
      <c r="K60" s="19">
        <v>8.7100000000000009</v>
      </c>
      <c r="L60" s="19">
        <v>8.9600000000000009</v>
      </c>
      <c r="M60" s="19">
        <v>9.93</v>
      </c>
      <c r="N60" s="19">
        <v>10.37</v>
      </c>
      <c r="O60" s="19">
        <v>10.65</v>
      </c>
      <c r="P60" s="19">
        <v>10.88</v>
      </c>
      <c r="Q60" s="19">
        <v>11.02</v>
      </c>
      <c r="R60" s="19">
        <v>10.95</v>
      </c>
      <c r="S60" s="19">
        <v>10.41</v>
      </c>
    </row>
    <row r="61" spans="1:19" x14ac:dyDescent="0.35">
      <c r="A61" s="19" t="s">
        <v>229</v>
      </c>
      <c r="B61" s="19">
        <v>6.77</v>
      </c>
      <c r="C61" s="19">
        <v>6.97</v>
      </c>
      <c r="D61" s="19">
        <v>7.04</v>
      </c>
      <c r="E61" s="19">
        <v>7.21</v>
      </c>
      <c r="F61" s="19">
        <v>7.48</v>
      </c>
      <c r="G61" s="19">
        <v>7.75</v>
      </c>
      <c r="H61" s="19">
        <v>7.75</v>
      </c>
      <c r="I61" s="19">
        <v>8.2100000000000009</v>
      </c>
      <c r="J61" s="19">
        <v>8.58</v>
      </c>
      <c r="K61" s="19">
        <v>8.77</v>
      </c>
      <c r="L61" s="19">
        <v>9.11</v>
      </c>
      <c r="M61" s="19">
        <v>9.85</v>
      </c>
      <c r="N61" s="19">
        <v>10.16</v>
      </c>
      <c r="O61" s="19">
        <v>10.5</v>
      </c>
      <c r="P61" s="19">
        <v>10.97</v>
      </c>
      <c r="Q61" s="19">
        <v>11.13</v>
      </c>
      <c r="R61" s="19">
        <v>11.37</v>
      </c>
      <c r="S61" s="19">
        <v>11.29</v>
      </c>
    </row>
    <row r="62" spans="1:19" x14ac:dyDescent="0.35">
      <c r="A62" s="3" t="s">
        <v>319</v>
      </c>
      <c r="B62" s="3">
        <v>9.68</v>
      </c>
      <c r="C62" s="3">
        <v>10.27</v>
      </c>
      <c r="D62" s="3">
        <v>10.11</v>
      </c>
      <c r="E62" s="3">
        <v>10.11</v>
      </c>
      <c r="F62" s="3">
        <v>10.36</v>
      </c>
      <c r="G62" s="3">
        <v>11.62</v>
      </c>
      <c r="H62" s="3">
        <v>11.82</v>
      </c>
      <c r="I62" s="3">
        <v>11.55</v>
      </c>
      <c r="J62" s="3">
        <v>12.15</v>
      </c>
      <c r="K62" s="3">
        <v>12.31</v>
      </c>
      <c r="L62" s="3">
        <v>12.43</v>
      </c>
      <c r="M62" s="3">
        <v>12.94</v>
      </c>
      <c r="N62" s="3">
        <v>13.51</v>
      </c>
      <c r="O62" s="3">
        <v>13.64</v>
      </c>
      <c r="P62" s="3">
        <v>14.28</v>
      </c>
      <c r="Q62" s="3">
        <v>14.59</v>
      </c>
      <c r="R62" s="3">
        <v>15.08</v>
      </c>
      <c r="S62" s="3">
        <v>15.56</v>
      </c>
    </row>
    <row r="63" spans="1:19" x14ac:dyDescent="0.35">
      <c r="A63" s="19" t="s">
        <v>67</v>
      </c>
      <c r="B63" s="19">
        <v>12.09</v>
      </c>
      <c r="C63" s="19">
        <v>12.64</v>
      </c>
      <c r="D63" s="19">
        <v>12.23</v>
      </c>
      <c r="E63" s="19">
        <v>12.2</v>
      </c>
      <c r="F63" s="19">
        <v>12.51</v>
      </c>
      <c r="G63" s="19">
        <v>14.33</v>
      </c>
      <c r="H63" s="19">
        <v>14.42</v>
      </c>
      <c r="I63" s="19">
        <v>13.81</v>
      </c>
      <c r="J63" s="19">
        <v>14.74</v>
      </c>
      <c r="K63" s="19">
        <v>14.75</v>
      </c>
      <c r="L63" s="19">
        <v>14.78</v>
      </c>
      <c r="M63" s="19">
        <v>15.34</v>
      </c>
      <c r="N63" s="19">
        <v>16.23</v>
      </c>
      <c r="O63" s="19">
        <v>16.25</v>
      </c>
      <c r="P63" s="19">
        <v>16.989999999999998</v>
      </c>
      <c r="Q63" s="19">
        <v>17.39</v>
      </c>
      <c r="R63" s="19">
        <v>18.309999999999999</v>
      </c>
      <c r="S63" s="19">
        <v>18.84</v>
      </c>
    </row>
    <row r="64" spans="1:19" x14ac:dyDescent="0.35">
      <c r="A64" s="19" t="s">
        <v>217</v>
      </c>
      <c r="B64" s="19">
        <v>6.29</v>
      </c>
      <c r="C64" s="19">
        <v>7.12</v>
      </c>
      <c r="D64" s="19">
        <v>7.06</v>
      </c>
      <c r="E64" s="19">
        <v>7.18</v>
      </c>
      <c r="F64" s="19">
        <v>7.25</v>
      </c>
      <c r="G64" s="19">
        <v>7.48</v>
      </c>
      <c r="H64" s="19">
        <v>8.19</v>
      </c>
      <c r="I64" s="19">
        <v>8.49</v>
      </c>
      <c r="J64" s="19">
        <v>8.68</v>
      </c>
      <c r="K64" s="19">
        <v>8.8699999999999992</v>
      </c>
      <c r="L64" s="19">
        <v>9.5399999999999991</v>
      </c>
      <c r="M64" s="19">
        <v>9.8000000000000007</v>
      </c>
      <c r="N64" s="19">
        <v>9.9</v>
      </c>
      <c r="O64" s="19">
        <v>10.47</v>
      </c>
      <c r="P64" s="19">
        <v>10.66</v>
      </c>
      <c r="Q64" s="19">
        <v>10.66</v>
      </c>
      <c r="R64" s="19">
        <v>10.66</v>
      </c>
      <c r="S64" s="19">
        <v>10.98</v>
      </c>
    </row>
    <row r="65" spans="1:19" x14ac:dyDescent="0.35">
      <c r="A65" s="19" t="s">
        <v>226</v>
      </c>
      <c r="B65" s="19">
        <v>5.7</v>
      </c>
      <c r="C65" s="19">
        <v>6.29</v>
      </c>
      <c r="D65" s="19">
        <v>6.31</v>
      </c>
      <c r="E65" s="19">
        <v>6.37</v>
      </c>
      <c r="F65" s="19">
        <v>6.54</v>
      </c>
      <c r="G65" s="19">
        <v>6.82</v>
      </c>
      <c r="H65" s="19">
        <v>7.26</v>
      </c>
      <c r="I65" s="19">
        <v>7.54</v>
      </c>
      <c r="J65" s="19">
        <v>7.67</v>
      </c>
      <c r="K65" s="19">
        <v>8.0399999999999991</v>
      </c>
      <c r="L65" s="19">
        <v>8.2799999999999994</v>
      </c>
      <c r="M65" s="19">
        <v>8.5299999999999994</v>
      </c>
      <c r="N65" s="19">
        <v>8.6999999999999993</v>
      </c>
      <c r="O65" s="19">
        <v>8.67</v>
      </c>
      <c r="P65" s="19">
        <v>9.09</v>
      </c>
      <c r="Q65" s="19">
        <v>9.48</v>
      </c>
      <c r="R65" s="19">
        <v>9.66</v>
      </c>
      <c r="S65" s="19">
        <v>9.75</v>
      </c>
    </row>
    <row r="66" spans="1:19" x14ac:dyDescent="0.35">
      <c r="A66" s="3" t="s">
        <v>320</v>
      </c>
      <c r="B66" s="3">
        <v>14.64</v>
      </c>
      <c r="C66" s="3">
        <v>14.2</v>
      </c>
      <c r="D66" s="3">
        <v>14.85</v>
      </c>
      <c r="E66" s="3">
        <v>15.84</v>
      </c>
      <c r="F66" s="3">
        <v>17.78</v>
      </c>
      <c r="G66" s="3">
        <v>19.940000000000001</v>
      </c>
      <c r="H66" s="3">
        <v>20.56</v>
      </c>
      <c r="I66" s="3">
        <v>25.99</v>
      </c>
      <c r="J66" s="3">
        <v>21.31</v>
      </c>
      <c r="K66" s="3">
        <v>23.22</v>
      </c>
      <c r="L66" s="3">
        <v>27.49</v>
      </c>
      <c r="M66" s="3">
        <v>28.76</v>
      </c>
      <c r="N66" s="3">
        <v>28.56</v>
      </c>
      <c r="O66" s="3">
        <v>29.13</v>
      </c>
      <c r="P66" s="3">
        <v>25.34</v>
      </c>
      <c r="Q66" s="3">
        <v>24.36</v>
      </c>
      <c r="R66" s="3">
        <v>25.89</v>
      </c>
      <c r="S66" s="3">
        <v>28.03</v>
      </c>
    </row>
    <row r="67" spans="1:19" x14ac:dyDescent="0.35">
      <c r="A67" s="19" t="s">
        <v>321</v>
      </c>
      <c r="B67" s="19">
        <v>12.12</v>
      </c>
      <c r="C67" s="19">
        <v>12.05</v>
      </c>
      <c r="D67" s="19">
        <v>11.98</v>
      </c>
      <c r="E67" s="19">
        <v>12.44</v>
      </c>
      <c r="F67" s="19">
        <v>13.3</v>
      </c>
      <c r="G67" s="19">
        <v>14.83</v>
      </c>
      <c r="H67" s="19">
        <v>15.18</v>
      </c>
      <c r="I67" s="19">
        <v>16.559999999999999</v>
      </c>
      <c r="J67" s="19">
        <v>17.14</v>
      </c>
      <c r="K67" s="19">
        <v>16.260000000000002</v>
      </c>
      <c r="L67" s="19">
        <v>17.62</v>
      </c>
      <c r="M67" s="19">
        <v>17.88</v>
      </c>
      <c r="N67" s="19">
        <v>18.12</v>
      </c>
      <c r="O67" s="19">
        <v>19.14</v>
      </c>
      <c r="P67" s="19">
        <v>19.829999999999998</v>
      </c>
      <c r="Q67" s="19">
        <v>20.3</v>
      </c>
      <c r="R67" s="19">
        <v>21.27</v>
      </c>
      <c r="S67" s="19">
        <v>21.94</v>
      </c>
    </row>
    <row r="68" spans="1:19" x14ac:dyDescent="0.35">
      <c r="A68" s="19" t="s">
        <v>322</v>
      </c>
      <c r="B68" s="19">
        <v>16.34</v>
      </c>
      <c r="C68" s="19">
        <v>15.63</v>
      </c>
      <c r="D68" s="19">
        <v>16.73</v>
      </c>
      <c r="E68" s="19">
        <v>18.059999999999999</v>
      </c>
      <c r="F68" s="19">
        <v>20.7</v>
      </c>
      <c r="G68" s="19">
        <v>23.35</v>
      </c>
      <c r="H68" s="19">
        <v>24.12</v>
      </c>
      <c r="I68" s="19">
        <v>32.5</v>
      </c>
      <c r="J68" s="19">
        <v>24.2</v>
      </c>
      <c r="K68" s="19">
        <v>28.1</v>
      </c>
      <c r="L68" s="19">
        <v>34.68</v>
      </c>
      <c r="M68" s="19">
        <v>37.340000000000003</v>
      </c>
      <c r="N68" s="19">
        <v>36.979999999999997</v>
      </c>
      <c r="O68" s="19">
        <v>37.04</v>
      </c>
      <c r="P68" s="19">
        <v>29.6</v>
      </c>
      <c r="Q68" s="19">
        <v>27.47</v>
      </c>
      <c r="R68" s="19">
        <v>29.5</v>
      </c>
      <c r="S68" s="19">
        <v>32.47</v>
      </c>
    </row>
  </sheetData>
  <mergeCells count="2">
    <mergeCell ref="A5:A6"/>
    <mergeCell ref="B5:S5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"/>
  <sheetViews>
    <sheetView workbookViewId="0">
      <selection activeCell="I14" sqref="I14"/>
    </sheetView>
  </sheetViews>
  <sheetFormatPr defaultColWidth="9.08984375" defaultRowHeight="14.5" x14ac:dyDescent="0.35"/>
  <cols>
    <col min="1" max="16384" width="9.08984375" style="19"/>
  </cols>
  <sheetData>
    <row r="1" spans="1:7" x14ac:dyDescent="0.35">
      <c r="A1" s="19" t="s">
        <v>288</v>
      </c>
    </row>
    <row r="2" spans="1:7" x14ac:dyDescent="0.35">
      <c r="A2" s="326" t="s">
        <v>289</v>
      </c>
      <c r="B2" s="325" t="s">
        <v>290</v>
      </c>
      <c r="C2" s="325"/>
      <c r="D2" s="325"/>
      <c r="E2" s="327" t="s">
        <v>291</v>
      </c>
      <c r="F2" s="327"/>
      <c r="G2" s="327"/>
    </row>
    <row r="3" spans="1:7" x14ac:dyDescent="0.35">
      <c r="A3" s="326"/>
      <c r="B3" s="82" t="s">
        <v>36</v>
      </c>
      <c r="C3" s="82" t="s">
        <v>32</v>
      </c>
      <c r="D3" s="82" t="s">
        <v>70</v>
      </c>
      <c r="E3" s="83" t="s">
        <v>36</v>
      </c>
      <c r="F3" s="83" t="s">
        <v>32</v>
      </c>
      <c r="G3" s="83" t="s">
        <v>70</v>
      </c>
    </row>
    <row r="4" spans="1:7" x14ac:dyDescent="0.35">
      <c r="A4" s="19">
        <v>2016</v>
      </c>
      <c r="B4" s="8">
        <v>140000</v>
      </c>
      <c r="C4" s="8">
        <v>40000</v>
      </c>
      <c r="D4" s="8">
        <v>6000</v>
      </c>
      <c r="E4" s="84">
        <v>330000</v>
      </c>
      <c r="F4" s="84">
        <v>92000</v>
      </c>
      <c r="G4" s="84">
        <v>14000</v>
      </c>
    </row>
    <row r="5" spans="1:7" x14ac:dyDescent="0.35">
      <c r="A5" s="19">
        <v>2017</v>
      </c>
      <c r="B5" s="8">
        <v>142866.81715575606</v>
      </c>
      <c r="C5" s="8">
        <v>40446.9525959366</v>
      </c>
      <c r="D5" s="8">
        <v>6020.0902934537153</v>
      </c>
      <c r="E5" s="84">
        <v>333069.97742663696</v>
      </c>
      <c r="F5" s="84">
        <v>92361.173814898357</v>
      </c>
      <c r="G5" s="84">
        <v>13880.361173814919</v>
      </c>
    </row>
    <row r="6" spans="1:7" x14ac:dyDescent="0.35">
      <c r="A6" s="19">
        <v>2018</v>
      </c>
      <c r="B6" s="8">
        <v>145846.50112866797</v>
      </c>
      <c r="C6" s="8">
        <v>41108.352144469507</v>
      </c>
      <c r="D6" s="8">
        <v>6107.9006772009016</v>
      </c>
      <c r="E6" s="84">
        <v>338623.02483070083</v>
      </c>
      <c r="F6" s="84">
        <v>93602.708803611808</v>
      </c>
      <c r="G6" s="84">
        <v>14031.602708803606</v>
      </c>
    </row>
    <row r="7" spans="1:7" x14ac:dyDescent="0.35">
      <c r="A7" s="19">
        <v>2019</v>
      </c>
      <c r="B7" s="8">
        <v>148826.18510157987</v>
      </c>
      <c r="C7" s="8">
        <v>41769.751693002181</v>
      </c>
      <c r="D7" s="8">
        <v>6195.7110609480878</v>
      </c>
      <c r="E7" s="84">
        <v>344176.07223476283</v>
      </c>
      <c r="F7" s="84">
        <v>94844.243792324793</v>
      </c>
      <c r="G7" s="84">
        <v>14182.844243792351</v>
      </c>
    </row>
    <row r="8" spans="1:7" x14ac:dyDescent="0.35">
      <c r="A8" s="19">
        <v>2020</v>
      </c>
      <c r="B8" s="8">
        <v>150000</v>
      </c>
      <c r="C8" s="8">
        <v>42000</v>
      </c>
      <c r="D8" s="8">
        <v>6200</v>
      </c>
      <c r="E8" s="84">
        <v>350000</v>
      </c>
      <c r="F8" s="84">
        <v>96000</v>
      </c>
      <c r="G8" s="84">
        <v>14000</v>
      </c>
    </row>
    <row r="9" spans="1:7" x14ac:dyDescent="0.35">
      <c r="A9" s="19">
        <v>2021</v>
      </c>
      <c r="B9" s="8">
        <v>154785.55304740369</v>
      </c>
      <c r="C9" s="8">
        <v>43092.550790067529</v>
      </c>
      <c r="D9" s="8">
        <v>6371.3318284424313</v>
      </c>
      <c r="E9" s="84">
        <v>355282.16704289056</v>
      </c>
      <c r="F9" s="84">
        <v>97327.313769751694</v>
      </c>
      <c r="G9" s="84">
        <v>14485.327313769783</v>
      </c>
    </row>
    <row r="10" spans="1:7" x14ac:dyDescent="0.35">
      <c r="A10" s="19">
        <v>2022</v>
      </c>
      <c r="B10" s="8">
        <v>157765.2370203156</v>
      </c>
      <c r="C10" s="8">
        <v>43753.950338600436</v>
      </c>
      <c r="D10" s="8">
        <v>6459.1422121896176</v>
      </c>
      <c r="E10" s="84">
        <v>360835.21444695257</v>
      </c>
      <c r="F10" s="84">
        <v>98568.848758464679</v>
      </c>
      <c r="G10" s="84">
        <v>14636.56884875847</v>
      </c>
    </row>
    <row r="11" spans="1:7" x14ac:dyDescent="0.35">
      <c r="A11" s="19">
        <v>2023</v>
      </c>
      <c r="B11" s="8">
        <v>160744.92099322844</v>
      </c>
      <c r="C11" s="8">
        <v>44415.34988713311</v>
      </c>
      <c r="D11" s="8">
        <v>6546.9525959368038</v>
      </c>
      <c r="E11" s="84">
        <v>366388.26185101643</v>
      </c>
      <c r="F11" s="84">
        <v>99810.38374717813</v>
      </c>
      <c r="G11" s="84">
        <v>14787.810383747215</v>
      </c>
    </row>
    <row r="12" spans="1:7" x14ac:dyDescent="0.35">
      <c r="A12" s="19">
        <v>2024</v>
      </c>
      <c r="B12" s="8">
        <v>163724.60496614035</v>
      </c>
      <c r="C12" s="8">
        <v>45076.749435665784</v>
      </c>
      <c r="D12" s="8">
        <v>6634.7629796839901</v>
      </c>
      <c r="E12" s="84">
        <v>371941.3092550803</v>
      </c>
      <c r="F12" s="84">
        <v>101051.91873589158</v>
      </c>
      <c r="G12" s="84">
        <v>14939.051918735902</v>
      </c>
    </row>
    <row r="13" spans="1:7" x14ac:dyDescent="0.35">
      <c r="A13" s="19">
        <v>2025</v>
      </c>
      <c r="B13" s="8">
        <v>170000</v>
      </c>
      <c r="C13" s="8">
        <v>46000</v>
      </c>
      <c r="D13" s="8">
        <v>6700</v>
      </c>
      <c r="E13" s="84">
        <v>370000</v>
      </c>
      <c r="F13" s="84">
        <v>100000</v>
      </c>
      <c r="G13" s="84">
        <v>15000</v>
      </c>
    </row>
    <row r="14" spans="1:7" x14ac:dyDescent="0.35">
      <c r="A14" s="19">
        <v>2026</v>
      </c>
      <c r="B14" s="8">
        <v>169683.97291196417</v>
      </c>
      <c r="C14" s="8">
        <v>46399.548532731365</v>
      </c>
      <c r="D14" s="8">
        <v>6810.3837471783336</v>
      </c>
      <c r="E14" s="84">
        <v>383047.40406320617</v>
      </c>
      <c r="F14" s="84">
        <v>103534.98871331802</v>
      </c>
      <c r="G14" s="84">
        <v>15241.534988713334</v>
      </c>
    </row>
    <row r="15" spans="1:7" x14ac:dyDescent="0.35">
      <c r="A15" s="19">
        <v>2027</v>
      </c>
      <c r="B15" s="8">
        <v>172663.65688487608</v>
      </c>
      <c r="C15" s="8">
        <v>47060.94808126404</v>
      </c>
      <c r="D15" s="8">
        <v>6898.1941309255199</v>
      </c>
      <c r="E15" s="84">
        <v>388600.45146726817</v>
      </c>
      <c r="F15" s="84">
        <v>104776.52370203147</v>
      </c>
      <c r="G15" s="84">
        <v>15392.776523702021</v>
      </c>
    </row>
    <row r="16" spans="1:7" x14ac:dyDescent="0.35">
      <c r="A16" s="19">
        <v>2028</v>
      </c>
      <c r="B16" s="8">
        <v>175643.34085778799</v>
      </c>
      <c r="C16" s="8">
        <v>47722.347629796714</v>
      </c>
      <c r="D16" s="8">
        <v>6986.004514672677</v>
      </c>
      <c r="E16" s="84">
        <v>394153.49887133203</v>
      </c>
      <c r="F16" s="84">
        <v>106018.05869074492</v>
      </c>
      <c r="G16" s="84">
        <v>15544.018058690766</v>
      </c>
    </row>
    <row r="17" spans="1:7" x14ac:dyDescent="0.35">
      <c r="A17" s="19">
        <v>2029</v>
      </c>
      <c r="B17" s="8">
        <v>178623.0248306999</v>
      </c>
      <c r="C17" s="8">
        <v>48383.747178329388</v>
      </c>
      <c r="D17" s="8">
        <v>7073.8148984198633</v>
      </c>
      <c r="E17" s="84">
        <v>399706.5462753959</v>
      </c>
      <c r="F17" s="84">
        <v>107259.5936794579</v>
      </c>
      <c r="G17" s="84">
        <v>15695.259593679453</v>
      </c>
    </row>
    <row r="18" spans="1:7" x14ac:dyDescent="0.35">
      <c r="A18" s="19">
        <v>2030</v>
      </c>
      <c r="B18" s="8">
        <v>180000</v>
      </c>
      <c r="C18" s="8">
        <v>49000</v>
      </c>
      <c r="D18" s="8">
        <v>7200</v>
      </c>
      <c r="E18" s="84">
        <v>410000</v>
      </c>
      <c r="F18" s="84">
        <v>110000</v>
      </c>
      <c r="G18" s="84">
        <v>16000</v>
      </c>
    </row>
    <row r="20" spans="1:7" x14ac:dyDescent="0.35">
      <c r="A20" s="19" t="s">
        <v>354</v>
      </c>
    </row>
  </sheetData>
  <mergeCells count="3">
    <mergeCell ref="A2:A3"/>
    <mergeCell ref="B2:D2"/>
    <mergeCell ref="E2:G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42"/>
  <sheetViews>
    <sheetView zoomScale="70" zoomScaleNormal="70" workbookViewId="0">
      <pane ySplit="2" topLeftCell="A3" activePane="bottomLeft" state="frozen"/>
      <selection pane="bottomLeft"/>
    </sheetView>
  </sheetViews>
  <sheetFormatPr defaultColWidth="9.08984375" defaultRowHeight="14.5" x14ac:dyDescent="0.35"/>
  <cols>
    <col min="1" max="16384" width="9.08984375" style="19"/>
  </cols>
  <sheetData>
    <row r="1" spans="1:3" x14ac:dyDescent="0.35">
      <c r="A1" s="19" t="s">
        <v>300</v>
      </c>
    </row>
    <row r="2" spans="1:3" ht="29" x14ac:dyDescent="0.35">
      <c r="A2" s="89" t="s">
        <v>289</v>
      </c>
      <c r="B2" s="100" t="s">
        <v>323</v>
      </c>
      <c r="C2" s="100" t="s">
        <v>324</v>
      </c>
    </row>
    <row r="3" spans="1:3" x14ac:dyDescent="0.35">
      <c r="A3" s="19">
        <v>2015</v>
      </c>
      <c r="B3" s="16">
        <v>36</v>
      </c>
      <c r="C3" s="16">
        <v>6</v>
      </c>
    </row>
    <row r="4" spans="1:3" x14ac:dyDescent="0.35">
      <c r="A4" s="19">
        <v>2016</v>
      </c>
      <c r="B4" s="16">
        <v>37.507142857142753</v>
      </c>
      <c r="C4" s="16">
        <v>6.1357142857143003</v>
      </c>
    </row>
    <row r="5" spans="1:3" x14ac:dyDescent="0.35">
      <c r="A5" s="19">
        <v>2017</v>
      </c>
      <c r="B5" s="16">
        <v>38.430952380952249</v>
      </c>
      <c r="C5" s="16">
        <v>6.2714285714286007</v>
      </c>
    </row>
    <row r="6" spans="1:3" x14ac:dyDescent="0.35">
      <c r="A6" s="19">
        <v>2018</v>
      </c>
      <c r="B6" s="16">
        <v>39.354761904761745</v>
      </c>
      <c r="C6" s="16">
        <v>6.407142857142901</v>
      </c>
    </row>
    <row r="7" spans="1:3" x14ac:dyDescent="0.35">
      <c r="A7" s="19">
        <v>2019</v>
      </c>
      <c r="B7" s="16">
        <v>40.27857142857124</v>
      </c>
      <c r="C7" s="16">
        <v>6.5428571428571445</v>
      </c>
    </row>
    <row r="8" spans="1:3" x14ac:dyDescent="0.35">
      <c r="A8" s="19">
        <v>2020</v>
      </c>
      <c r="B8" s="16">
        <v>42</v>
      </c>
      <c r="C8" s="16">
        <v>7</v>
      </c>
    </row>
    <row r="9" spans="1:3" x14ac:dyDescent="0.35">
      <c r="A9" s="19">
        <v>2021</v>
      </c>
      <c r="B9" s="16">
        <v>42.126190476190459</v>
      </c>
      <c r="C9" s="16">
        <v>6.8142857142857451</v>
      </c>
    </row>
    <row r="10" spans="1:3" x14ac:dyDescent="0.35">
      <c r="A10" s="19">
        <v>2022</v>
      </c>
      <c r="B10" s="16">
        <v>43.049999999999955</v>
      </c>
      <c r="C10" s="16">
        <v>6.9500000000000455</v>
      </c>
    </row>
    <row r="11" spans="1:3" x14ac:dyDescent="0.35">
      <c r="A11" s="19">
        <v>2023</v>
      </c>
      <c r="B11" s="16">
        <v>43.97380952380945</v>
      </c>
      <c r="C11" s="16">
        <v>7.085714285714289</v>
      </c>
    </row>
    <row r="12" spans="1:3" x14ac:dyDescent="0.35">
      <c r="A12" s="19">
        <v>2024</v>
      </c>
      <c r="B12" s="16">
        <v>44.897619047618946</v>
      </c>
      <c r="C12" s="16">
        <v>7.2214285714285893</v>
      </c>
    </row>
    <row r="13" spans="1:3" x14ac:dyDescent="0.35">
      <c r="A13" s="19">
        <v>2025</v>
      </c>
      <c r="B13" s="16">
        <v>46</v>
      </c>
      <c r="C13" s="16">
        <v>7</v>
      </c>
    </row>
    <row r="14" spans="1:3" x14ac:dyDescent="0.35">
      <c r="A14" s="19">
        <v>2026</v>
      </c>
      <c r="B14" s="16">
        <v>46.745238095237937</v>
      </c>
      <c r="C14" s="16">
        <v>7.49285714285719</v>
      </c>
    </row>
    <row r="15" spans="1:3" x14ac:dyDescent="0.35">
      <c r="A15" s="19">
        <v>2027</v>
      </c>
      <c r="B15" s="16">
        <v>47.669047619047433</v>
      </c>
      <c r="C15" s="16">
        <v>7.6285714285714334</v>
      </c>
    </row>
    <row r="16" spans="1:3" x14ac:dyDescent="0.35">
      <c r="A16" s="19">
        <v>2028</v>
      </c>
      <c r="B16" s="16">
        <v>48.592857142857156</v>
      </c>
      <c r="C16" s="16">
        <v>7.7642857142857338</v>
      </c>
    </row>
    <row r="17" spans="1:3" x14ac:dyDescent="0.35">
      <c r="A17" s="19">
        <v>2029</v>
      </c>
      <c r="B17" s="16">
        <v>49.516666666666652</v>
      </c>
      <c r="C17" s="16">
        <v>7.9000000000000341</v>
      </c>
    </row>
    <row r="18" spans="1:3" x14ac:dyDescent="0.35">
      <c r="A18" s="19">
        <v>2030</v>
      </c>
      <c r="B18" s="16">
        <v>50</v>
      </c>
      <c r="C18" s="16">
        <v>8</v>
      </c>
    </row>
    <row r="19" spans="1:3" x14ac:dyDescent="0.35">
      <c r="A19" s="19">
        <v>2031</v>
      </c>
      <c r="B19" s="16">
        <v>51.364285714285643</v>
      </c>
      <c r="C19" s="16">
        <v>8.1714285714285779</v>
      </c>
    </row>
    <row r="20" spans="1:3" x14ac:dyDescent="0.35">
      <c r="A20" s="19">
        <v>2032</v>
      </c>
      <c r="B20" s="16">
        <v>52.288095238095138</v>
      </c>
      <c r="C20" s="16">
        <v>8.3071428571428783</v>
      </c>
    </row>
    <row r="21" spans="1:3" x14ac:dyDescent="0.35">
      <c r="A21" s="19">
        <v>2033</v>
      </c>
      <c r="B21" s="16">
        <v>53.211904761904634</v>
      </c>
      <c r="C21" s="16">
        <v>8.4428571428571786</v>
      </c>
    </row>
    <row r="22" spans="1:3" x14ac:dyDescent="0.35">
      <c r="A22" s="19">
        <v>2034</v>
      </c>
      <c r="B22" s="16">
        <v>54.13571428571413</v>
      </c>
      <c r="C22" s="16">
        <v>8.5785714285714789</v>
      </c>
    </row>
    <row r="23" spans="1:3" x14ac:dyDescent="0.35">
      <c r="A23" s="19">
        <v>2035</v>
      </c>
      <c r="B23" s="16">
        <v>55</v>
      </c>
      <c r="C23" s="16">
        <v>9</v>
      </c>
    </row>
    <row r="24" spans="1:3" x14ac:dyDescent="0.35">
      <c r="A24" s="19">
        <v>2036</v>
      </c>
      <c r="B24" s="16">
        <v>55.983333333333121</v>
      </c>
      <c r="C24" s="16">
        <v>8.8500000000000227</v>
      </c>
    </row>
    <row r="25" spans="1:3" x14ac:dyDescent="0.35">
      <c r="A25" s="19">
        <v>2037</v>
      </c>
      <c r="B25" s="16">
        <v>56.907142857142844</v>
      </c>
      <c r="C25" s="16">
        <v>8.9857142857143231</v>
      </c>
    </row>
    <row r="26" spans="1:3" x14ac:dyDescent="0.35">
      <c r="A26" s="19">
        <v>2038</v>
      </c>
      <c r="B26" s="16">
        <v>57.83095238095234</v>
      </c>
      <c r="C26" s="16">
        <v>9.1214285714286234</v>
      </c>
    </row>
    <row r="27" spans="1:3" x14ac:dyDescent="0.35">
      <c r="A27" s="19">
        <v>2039</v>
      </c>
      <c r="B27" s="16">
        <v>58.754761904761835</v>
      </c>
      <c r="C27" s="16">
        <v>9.2571428571428669</v>
      </c>
    </row>
    <row r="28" spans="1:3" x14ac:dyDescent="0.35">
      <c r="A28" s="19">
        <v>2040</v>
      </c>
      <c r="B28" s="16">
        <v>60</v>
      </c>
      <c r="C28" s="16">
        <v>9</v>
      </c>
    </row>
    <row r="29" spans="1:3" x14ac:dyDescent="0.35">
      <c r="A29" s="19">
        <v>2041</v>
      </c>
      <c r="B29" s="16">
        <v>60.602380952380827</v>
      </c>
      <c r="C29" s="16">
        <v>9.5285714285714675</v>
      </c>
    </row>
    <row r="30" spans="1:3" x14ac:dyDescent="0.35">
      <c r="A30" s="19">
        <v>2042</v>
      </c>
      <c r="B30" s="16">
        <v>61.526190476190322</v>
      </c>
      <c r="C30" s="16">
        <v>9.6642857142857679</v>
      </c>
    </row>
    <row r="31" spans="1:3" x14ac:dyDescent="0.35">
      <c r="A31" s="19">
        <v>2043</v>
      </c>
      <c r="B31" s="16">
        <v>62.449999999999818</v>
      </c>
      <c r="C31" s="16">
        <v>9.8000000000000114</v>
      </c>
    </row>
    <row r="32" spans="1:3" x14ac:dyDescent="0.35">
      <c r="A32" s="19">
        <v>2044</v>
      </c>
      <c r="B32" s="16">
        <v>63.373809523809541</v>
      </c>
      <c r="C32" s="16">
        <v>9.9357142857143117</v>
      </c>
    </row>
    <row r="33" spans="1:3" x14ac:dyDescent="0.35">
      <c r="A33" s="19">
        <v>2045</v>
      </c>
      <c r="B33" s="16">
        <v>64</v>
      </c>
      <c r="C33" s="16">
        <v>10</v>
      </c>
    </row>
    <row r="34" spans="1:3" x14ac:dyDescent="0.35">
      <c r="A34" s="19">
        <v>2046</v>
      </c>
      <c r="B34" s="16">
        <v>65.221428571428532</v>
      </c>
      <c r="C34" s="16">
        <v>10.207142857142912</v>
      </c>
    </row>
    <row r="35" spans="1:3" x14ac:dyDescent="0.35">
      <c r="A35" s="19">
        <v>2047</v>
      </c>
      <c r="B35" s="16">
        <v>66.145238095238028</v>
      </c>
      <c r="C35" s="16">
        <v>10.342857142857156</v>
      </c>
    </row>
    <row r="36" spans="1:3" x14ac:dyDescent="0.35">
      <c r="A36" s="19">
        <v>2048</v>
      </c>
      <c r="B36" s="16">
        <v>67.069047619047524</v>
      </c>
      <c r="C36" s="16">
        <v>10.478571428571456</v>
      </c>
    </row>
    <row r="37" spans="1:3" x14ac:dyDescent="0.35">
      <c r="A37" s="19">
        <v>2049</v>
      </c>
      <c r="B37" s="16">
        <v>67.992857142857019</v>
      </c>
      <c r="C37" s="16">
        <v>10.614285714285757</v>
      </c>
    </row>
    <row r="38" spans="1:3" x14ac:dyDescent="0.35">
      <c r="A38" s="19">
        <v>2050</v>
      </c>
      <c r="B38" s="16">
        <v>69</v>
      </c>
      <c r="C38" s="16">
        <v>11</v>
      </c>
    </row>
    <row r="40" spans="1:3" x14ac:dyDescent="0.35">
      <c r="A40" s="19" t="s">
        <v>355</v>
      </c>
    </row>
    <row r="41" spans="1:3" x14ac:dyDescent="0.35">
      <c r="A41" s="19" t="s">
        <v>356</v>
      </c>
      <c r="B41" s="139" t="s">
        <v>357</v>
      </c>
    </row>
    <row r="42" spans="1:3" x14ac:dyDescent="0.35">
      <c r="A42" s="19" t="s">
        <v>358</v>
      </c>
      <c r="B42" s="139" t="s">
        <v>359</v>
      </c>
    </row>
  </sheetData>
  <hyperlinks>
    <hyperlink ref="B41" r:id="rId1"/>
    <hyperlink ref="B42" r:id="rId2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U35"/>
  <sheetViews>
    <sheetView topLeftCell="BD1" workbookViewId="0">
      <pane ySplit="6" topLeftCell="A7" activePane="bottomLeft" state="frozen"/>
      <selection pane="bottomLeft" sqref="A1:BU1"/>
    </sheetView>
  </sheetViews>
  <sheetFormatPr defaultColWidth="9.08984375" defaultRowHeight="12.5" x14ac:dyDescent="0.25"/>
  <cols>
    <col min="1" max="1" width="9.08984375" style="5"/>
    <col min="2" max="2" width="30.54296875" style="5" customWidth="1"/>
    <col min="3" max="16384" width="9.08984375" style="5"/>
  </cols>
  <sheetData>
    <row r="1" spans="1:73" ht="18" x14ac:dyDescent="0.4">
      <c r="A1" s="328" t="s">
        <v>74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  <c r="P1" s="329"/>
      <c r="Q1" s="329"/>
      <c r="R1" s="329"/>
      <c r="S1" s="329"/>
      <c r="T1" s="329"/>
      <c r="U1" s="329"/>
      <c r="V1" s="329"/>
      <c r="W1" s="329"/>
      <c r="X1" s="329"/>
      <c r="Y1" s="329"/>
      <c r="Z1" s="329"/>
      <c r="AA1" s="329"/>
      <c r="AB1" s="329"/>
      <c r="AC1" s="329"/>
      <c r="AD1" s="329"/>
      <c r="AE1" s="329"/>
      <c r="AF1" s="329"/>
      <c r="AG1" s="329"/>
      <c r="AH1" s="329"/>
      <c r="AI1" s="329"/>
      <c r="AJ1" s="329"/>
      <c r="AK1" s="329"/>
      <c r="AL1" s="329"/>
      <c r="AM1" s="329"/>
      <c r="AN1" s="329"/>
      <c r="AO1" s="329"/>
      <c r="AP1" s="329"/>
      <c r="AQ1" s="329"/>
      <c r="AR1" s="329"/>
      <c r="AS1" s="329"/>
      <c r="AT1" s="329"/>
      <c r="AU1" s="329"/>
      <c r="AV1" s="329"/>
      <c r="AW1" s="329"/>
      <c r="AX1" s="329"/>
      <c r="AY1" s="329"/>
      <c r="AZ1" s="329"/>
      <c r="BA1" s="329"/>
      <c r="BB1" s="329"/>
      <c r="BC1" s="329"/>
      <c r="BD1" s="329"/>
      <c r="BE1" s="329"/>
      <c r="BF1" s="329"/>
      <c r="BG1" s="329"/>
      <c r="BH1" s="329"/>
      <c r="BI1" s="329"/>
      <c r="BJ1" s="329"/>
      <c r="BK1" s="329"/>
      <c r="BL1" s="329"/>
      <c r="BM1" s="329"/>
      <c r="BN1" s="329"/>
      <c r="BO1" s="329"/>
      <c r="BP1" s="329"/>
      <c r="BQ1" s="329"/>
      <c r="BR1" s="329"/>
      <c r="BS1" s="329"/>
      <c r="BT1" s="329"/>
      <c r="BU1" s="329"/>
    </row>
    <row r="2" spans="1:73" ht="16.5" x14ac:dyDescent="0.35">
      <c r="A2" s="330" t="s">
        <v>75</v>
      </c>
      <c r="B2" s="329"/>
      <c r="C2" s="329"/>
      <c r="D2" s="329"/>
      <c r="E2" s="329"/>
      <c r="F2" s="329"/>
      <c r="G2" s="329"/>
      <c r="H2" s="329"/>
      <c r="I2" s="329"/>
      <c r="J2" s="329"/>
      <c r="K2" s="329"/>
      <c r="L2" s="329"/>
      <c r="M2" s="329"/>
      <c r="N2" s="329"/>
      <c r="O2" s="329"/>
      <c r="P2" s="329"/>
      <c r="Q2" s="329"/>
      <c r="R2" s="329"/>
      <c r="S2" s="329"/>
      <c r="T2" s="329"/>
      <c r="U2" s="329"/>
      <c r="V2" s="329"/>
      <c r="W2" s="329"/>
      <c r="X2" s="329"/>
      <c r="Y2" s="329"/>
      <c r="Z2" s="329"/>
      <c r="AA2" s="329"/>
      <c r="AB2" s="329"/>
      <c r="AC2" s="329"/>
      <c r="AD2" s="329"/>
      <c r="AE2" s="329"/>
      <c r="AF2" s="329"/>
      <c r="AG2" s="329"/>
      <c r="AH2" s="329"/>
      <c r="AI2" s="329"/>
      <c r="AJ2" s="329"/>
      <c r="AK2" s="329"/>
      <c r="AL2" s="329"/>
      <c r="AM2" s="329"/>
      <c r="AN2" s="329"/>
      <c r="AO2" s="329"/>
      <c r="AP2" s="329"/>
      <c r="AQ2" s="329"/>
      <c r="AR2" s="329"/>
      <c r="AS2" s="329"/>
      <c r="AT2" s="329"/>
      <c r="AU2" s="329"/>
      <c r="AV2" s="329"/>
      <c r="AW2" s="329"/>
      <c r="AX2" s="329"/>
      <c r="AY2" s="329"/>
      <c r="AZ2" s="329"/>
      <c r="BA2" s="329"/>
      <c r="BB2" s="329"/>
      <c r="BC2" s="329"/>
      <c r="BD2" s="329"/>
      <c r="BE2" s="329"/>
      <c r="BF2" s="329"/>
      <c r="BG2" s="329"/>
      <c r="BH2" s="329"/>
      <c r="BI2" s="329"/>
      <c r="BJ2" s="329"/>
      <c r="BK2" s="329"/>
      <c r="BL2" s="329"/>
      <c r="BM2" s="329"/>
      <c r="BN2" s="329"/>
      <c r="BO2" s="329"/>
      <c r="BP2" s="329"/>
      <c r="BQ2" s="329"/>
      <c r="BR2" s="329"/>
      <c r="BS2" s="329"/>
      <c r="BT2" s="329"/>
      <c r="BU2" s="329"/>
    </row>
    <row r="3" spans="1:73" x14ac:dyDescent="0.25">
      <c r="A3" s="329" t="s">
        <v>76</v>
      </c>
      <c r="B3" s="329"/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29"/>
      <c r="W3" s="329"/>
      <c r="X3" s="329"/>
      <c r="Y3" s="329"/>
      <c r="Z3" s="329"/>
      <c r="AA3" s="329"/>
      <c r="AB3" s="329"/>
      <c r="AC3" s="329"/>
      <c r="AD3" s="329"/>
      <c r="AE3" s="329"/>
      <c r="AF3" s="329"/>
      <c r="AG3" s="329"/>
      <c r="AH3" s="329"/>
      <c r="AI3" s="329"/>
      <c r="AJ3" s="329"/>
      <c r="AK3" s="329"/>
      <c r="AL3" s="329"/>
      <c r="AM3" s="329"/>
      <c r="AN3" s="329"/>
      <c r="AO3" s="329"/>
      <c r="AP3" s="329"/>
      <c r="AQ3" s="329"/>
      <c r="AR3" s="329"/>
      <c r="AS3" s="329"/>
      <c r="AT3" s="329"/>
      <c r="AU3" s="329"/>
      <c r="AV3" s="329"/>
      <c r="AW3" s="329"/>
      <c r="AX3" s="329"/>
      <c r="AY3" s="329"/>
      <c r="AZ3" s="329"/>
      <c r="BA3" s="329"/>
      <c r="BB3" s="329"/>
      <c r="BC3" s="329"/>
      <c r="BD3" s="329"/>
      <c r="BE3" s="329"/>
      <c r="BF3" s="329"/>
      <c r="BG3" s="329"/>
      <c r="BH3" s="329"/>
      <c r="BI3" s="329"/>
      <c r="BJ3" s="329"/>
      <c r="BK3" s="329"/>
      <c r="BL3" s="329"/>
      <c r="BM3" s="329"/>
      <c r="BN3" s="329"/>
      <c r="BO3" s="329"/>
      <c r="BP3" s="329"/>
      <c r="BQ3" s="329"/>
      <c r="BR3" s="329"/>
      <c r="BS3" s="329"/>
      <c r="BT3" s="329"/>
      <c r="BU3" s="329"/>
    </row>
    <row r="4" spans="1:73" x14ac:dyDescent="0.25">
      <c r="A4" s="329" t="s">
        <v>77</v>
      </c>
      <c r="B4" s="329"/>
      <c r="C4" s="329"/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AD4" s="329"/>
      <c r="AE4" s="329"/>
      <c r="AF4" s="329"/>
      <c r="AG4" s="329"/>
      <c r="AH4" s="329"/>
      <c r="AI4" s="329"/>
      <c r="AJ4" s="329"/>
      <c r="AK4" s="329"/>
      <c r="AL4" s="329"/>
      <c r="AM4" s="329"/>
      <c r="AN4" s="329"/>
      <c r="AO4" s="329"/>
      <c r="AP4" s="329"/>
      <c r="AQ4" s="329"/>
      <c r="AR4" s="329"/>
      <c r="AS4" s="329"/>
      <c r="AT4" s="329"/>
      <c r="AU4" s="329"/>
      <c r="AV4" s="329"/>
      <c r="AW4" s="329"/>
      <c r="AX4" s="329"/>
      <c r="AY4" s="329"/>
      <c r="AZ4" s="329"/>
      <c r="BA4" s="329"/>
      <c r="BB4" s="329"/>
      <c r="BC4" s="329"/>
      <c r="BD4" s="329"/>
      <c r="BE4" s="329"/>
      <c r="BF4" s="329"/>
      <c r="BG4" s="329"/>
      <c r="BH4" s="329"/>
      <c r="BI4" s="329"/>
      <c r="BJ4" s="329"/>
      <c r="BK4" s="329"/>
      <c r="BL4" s="329"/>
      <c r="BM4" s="329"/>
      <c r="BN4" s="329"/>
      <c r="BO4" s="329"/>
      <c r="BP4" s="329"/>
      <c r="BQ4" s="329"/>
      <c r="BR4" s="329"/>
      <c r="BS4" s="329"/>
      <c r="BT4" s="329"/>
      <c r="BU4" s="329"/>
    </row>
    <row r="6" spans="1:73" ht="13" x14ac:dyDescent="0.3">
      <c r="A6" s="6" t="s">
        <v>78</v>
      </c>
      <c r="B6" s="6" t="s">
        <v>79</v>
      </c>
      <c r="C6" s="6">
        <v>1947</v>
      </c>
      <c r="D6" s="6">
        <v>1948</v>
      </c>
      <c r="E6" s="6" t="s">
        <v>80</v>
      </c>
      <c r="F6" s="6" t="s">
        <v>81</v>
      </c>
      <c r="G6" s="6" t="s">
        <v>82</v>
      </c>
      <c r="H6" s="6" t="s">
        <v>83</v>
      </c>
      <c r="I6" s="6" t="s">
        <v>84</v>
      </c>
      <c r="J6" s="6" t="s">
        <v>85</v>
      </c>
      <c r="K6" s="6" t="s">
        <v>86</v>
      </c>
      <c r="L6" s="6" t="s">
        <v>87</v>
      </c>
      <c r="M6" s="6" t="s">
        <v>88</v>
      </c>
      <c r="N6" s="6" t="s">
        <v>89</v>
      </c>
      <c r="O6" s="6" t="s">
        <v>90</v>
      </c>
      <c r="P6" s="6" t="s">
        <v>91</v>
      </c>
      <c r="Q6" s="6" t="s">
        <v>92</v>
      </c>
      <c r="R6" s="6" t="s">
        <v>93</v>
      </c>
      <c r="S6" s="6" t="s">
        <v>94</v>
      </c>
      <c r="T6" s="6" t="s">
        <v>95</v>
      </c>
      <c r="U6" s="6" t="s">
        <v>96</v>
      </c>
      <c r="V6" s="6" t="s">
        <v>97</v>
      </c>
      <c r="W6" s="6" t="s">
        <v>98</v>
      </c>
      <c r="X6" s="6" t="s">
        <v>99</v>
      </c>
      <c r="Y6" s="6" t="s">
        <v>100</v>
      </c>
      <c r="Z6" s="6" t="s">
        <v>101</v>
      </c>
      <c r="AA6" s="6" t="s">
        <v>102</v>
      </c>
      <c r="AB6" s="6" t="s">
        <v>103</v>
      </c>
      <c r="AC6" s="6" t="s">
        <v>104</v>
      </c>
      <c r="AD6" s="6" t="s">
        <v>105</v>
      </c>
      <c r="AE6" s="6" t="s">
        <v>106</v>
      </c>
      <c r="AF6" s="6" t="s">
        <v>107</v>
      </c>
      <c r="AG6" s="6" t="s">
        <v>108</v>
      </c>
      <c r="AH6" s="6" t="s">
        <v>109</v>
      </c>
      <c r="AI6" s="6" t="s">
        <v>110</v>
      </c>
      <c r="AJ6" s="6" t="s">
        <v>111</v>
      </c>
      <c r="AK6" s="6" t="s">
        <v>112</v>
      </c>
      <c r="AL6" s="6" t="s">
        <v>113</v>
      </c>
      <c r="AM6" s="6" t="s">
        <v>114</v>
      </c>
      <c r="AN6" s="6" t="s">
        <v>115</v>
      </c>
      <c r="AO6" s="6" t="s">
        <v>116</v>
      </c>
      <c r="AP6" s="6" t="s">
        <v>117</v>
      </c>
      <c r="AQ6" s="6" t="s">
        <v>118</v>
      </c>
      <c r="AR6" s="6" t="s">
        <v>119</v>
      </c>
      <c r="AS6" s="6" t="s">
        <v>120</v>
      </c>
      <c r="AT6" s="6" t="s">
        <v>121</v>
      </c>
      <c r="AU6" s="6" t="s">
        <v>122</v>
      </c>
      <c r="AV6" s="6" t="s">
        <v>123</v>
      </c>
      <c r="AW6" s="6" t="s">
        <v>124</v>
      </c>
      <c r="AX6" s="6" t="s">
        <v>125</v>
      </c>
      <c r="AY6" s="6" t="s">
        <v>126</v>
      </c>
      <c r="AZ6" s="6" t="s">
        <v>127</v>
      </c>
      <c r="BA6" s="6">
        <v>1997</v>
      </c>
      <c r="BB6" s="6">
        <v>1998</v>
      </c>
      <c r="BC6" s="6">
        <v>1999</v>
      </c>
      <c r="BD6" s="6">
        <v>2000</v>
      </c>
      <c r="BE6" s="6">
        <v>2001</v>
      </c>
      <c r="BF6" s="6">
        <v>2002</v>
      </c>
      <c r="BG6" s="6">
        <v>2003</v>
      </c>
      <c r="BH6" s="6">
        <v>2004</v>
      </c>
      <c r="BI6" s="6">
        <v>2005</v>
      </c>
      <c r="BJ6" s="6">
        <v>2006</v>
      </c>
      <c r="BK6" s="6">
        <v>2007</v>
      </c>
      <c r="BL6" s="6">
        <v>2008</v>
      </c>
      <c r="BM6" s="6">
        <v>2009</v>
      </c>
      <c r="BN6" s="6">
        <v>2010</v>
      </c>
      <c r="BO6" s="6">
        <v>2011</v>
      </c>
      <c r="BP6" s="6">
        <v>2012</v>
      </c>
      <c r="BQ6" s="6">
        <v>2013</v>
      </c>
      <c r="BR6" s="6">
        <v>2014</v>
      </c>
      <c r="BS6" s="6">
        <v>2015</v>
      </c>
      <c r="BT6" s="6">
        <v>2016</v>
      </c>
      <c r="BU6" s="6">
        <v>2017</v>
      </c>
    </row>
    <row r="7" spans="1:73" x14ac:dyDescent="0.25">
      <c r="A7" s="65" t="s">
        <v>78</v>
      </c>
      <c r="B7" s="65" t="s">
        <v>79</v>
      </c>
      <c r="C7" s="65" t="s">
        <v>79</v>
      </c>
      <c r="D7" s="65" t="s">
        <v>79</v>
      </c>
      <c r="E7" s="65" t="s">
        <v>79</v>
      </c>
      <c r="F7" s="65" t="s">
        <v>79</v>
      </c>
      <c r="G7" s="65" t="s">
        <v>79</v>
      </c>
      <c r="H7" s="65" t="s">
        <v>79</v>
      </c>
      <c r="I7" s="65" t="s">
        <v>79</v>
      </c>
      <c r="J7" s="65" t="s">
        <v>79</v>
      </c>
      <c r="K7" s="65" t="s">
        <v>79</v>
      </c>
      <c r="L7" s="65" t="s">
        <v>79</v>
      </c>
      <c r="M7" s="65" t="s">
        <v>79</v>
      </c>
      <c r="N7" s="65" t="s">
        <v>79</v>
      </c>
      <c r="O7" s="65" t="s">
        <v>79</v>
      </c>
      <c r="P7" s="65" t="s">
        <v>79</v>
      </c>
      <c r="Q7" s="65" t="s">
        <v>79</v>
      </c>
      <c r="R7" s="65" t="s">
        <v>79</v>
      </c>
      <c r="S7" s="65" t="s">
        <v>79</v>
      </c>
      <c r="T7" s="65" t="s">
        <v>79</v>
      </c>
      <c r="U7" s="65" t="s">
        <v>79</v>
      </c>
      <c r="V7" s="65" t="s">
        <v>79</v>
      </c>
      <c r="W7" s="65" t="s">
        <v>79</v>
      </c>
      <c r="X7" s="65" t="s">
        <v>79</v>
      </c>
      <c r="Y7" s="65" t="s">
        <v>79</v>
      </c>
      <c r="Z7" s="65" t="s">
        <v>79</v>
      </c>
      <c r="AA7" s="65" t="s">
        <v>79</v>
      </c>
      <c r="AB7" s="65" t="s">
        <v>79</v>
      </c>
      <c r="AC7" s="65" t="s">
        <v>79</v>
      </c>
      <c r="AD7" s="65" t="s">
        <v>79</v>
      </c>
      <c r="AE7" s="65" t="s">
        <v>79</v>
      </c>
      <c r="AF7" s="65" t="s">
        <v>79</v>
      </c>
      <c r="AG7" s="65" t="s">
        <v>79</v>
      </c>
      <c r="AH7" s="65" t="s">
        <v>79</v>
      </c>
      <c r="AI7" s="65" t="s">
        <v>79</v>
      </c>
      <c r="AJ7" s="65" t="s">
        <v>79</v>
      </c>
      <c r="AK7" s="65" t="s">
        <v>79</v>
      </c>
      <c r="AL7" s="65" t="s">
        <v>79</v>
      </c>
      <c r="AM7" s="65" t="s">
        <v>79</v>
      </c>
      <c r="AN7" s="65" t="s">
        <v>79</v>
      </c>
      <c r="AO7" s="65" t="s">
        <v>79</v>
      </c>
      <c r="AP7" s="65" t="s">
        <v>79</v>
      </c>
      <c r="AQ7" s="65" t="s">
        <v>79</v>
      </c>
      <c r="AR7" s="65" t="s">
        <v>79</v>
      </c>
      <c r="AS7" s="65" t="s">
        <v>79</v>
      </c>
      <c r="AT7" s="65" t="s">
        <v>79</v>
      </c>
      <c r="AU7" s="65" t="s">
        <v>79</v>
      </c>
      <c r="AV7" s="65" t="s">
        <v>79</v>
      </c>
      <c r="AW7" s="65" t="s">
        <v>79</v>
      </c>
      <c r="AX7" s="65" t="s">
        <v>79</v>
      </c>
      <c r="AY7" s="65" t="s">
        <v>79</v>
      </c>
      <c r="AZ7" s="65" t="s">
        <v>79</v>
      </c>
      <c r="BA7" s="65" t="s">
        <v>79</v>
      </c>
      <c r="BB7" s="65" t="s">
        <v>79</v>
      </c>
      <c r="BC7" s="65" t="s">
        <v>79</v>
      </c>
      <c r="BD7" s="65" t="s">
        <v>79</v>
      </c>
      <c r="BE7" s="65" t="s">
        <v>79</v>
      </c>
      <c r="BF7" s="65" t="s">
        <v>79</v>
      </c>
      <c r="BG7" s="65" t="s">
        <v>79</v>
      </c>
      <c r="BH7" s="65" t="s">
        <v>79</v>
      </c>
      <c r="BI7" s="65" t="s">
        <v>79</v>
      </c>
      <c r="BJ7" s="65" t="s">
        <v>79</v>
      </c>
      <c r="BK7" s="65" t="s">
        <v>79</v>
      </c>
      <c r="BL7" s="65" t="s">
        <v>79</v>
      </c>
      <c r="BM7" s="65" t="s">
        <v>79</v>
      </c>
      <c r="BN7" s="65" t="s">
        <v>79</v>
      </c>
      <c r="BO7" s="65" t="s">
        <v>79</v>
      </c>
      <c r="BP7" s="65" t="s">
        <v>79</v>
      </c>
      <c r="BQ7" s="65" t="s">
        <v>79</v>
      </c>
      <c r="BR7" s="65" t="s">
        <v>79</v>
      </c>
      <c r="BS7" s="65" t="s">
        <v>79</v>
      </c>
      <c r="BT7" s="65" t="s">
        <v>79</v>
      </c>
      <c r="BU7" s="65" t="s">
        <v>79</v>
      </c>
    </row>
    <row r="8" spans="1:73" ht="13" x14ac:dyDescent="0.3">
      <c r="A8" s="65" t="s">
        <v>128</v>
      </c>
      <c r="B8" s="7" t="s">
        <v>129</v>
      </c>
      <c r="C8" s="65">
        <v>12.266999999999999</v>
      </c>
      <c r="D8" s="65">
        <v>12.956</v>
      </c>
      <c r="E8" s="65">
        <v>12.935</v>
      </c>
      <c r="F8" s="65">
        <v>13.095000000000001</v>
      </c>
      <c r="G8" s="65">
        <v>14.023999999999999</v>
      </c>
      <c r="H8" s="65">
        <v>14.266</v>
      </c>
      <c r="I8" s="65">
        <v>14.439</v>
      </c>
      <c r="J8" s="65">
        <v>14.573</v>
      </c>
      <c r="K8" s="65">
        <v>14.819000000000001</v>
      </c>
      <c r="L8" s="65">
        <v>15.324</v>
      </c>
      <c r="M8" s="65">
        <v>15.832000000000001</v>
      </c>
      <c r="N8" s="65">
        <v>16.192</v>
      </c>
      <c r="O8" s="65">
        <v>16.414000000000001</v>
      </c>
      <c r="P8" s="65">
        <v>16.638000000000002</v>
      </c>
      <c r="Q8" s="65">
        <v>16.815000000000001</v>
      </c>
      <c r="R8" s="65">
        <v>17.02</v>
      </c>
      <c r="S8" s="65">
        <v>17.215</v>
      </c>
      <c r="T8" s="65">
        <v>17.477</v>
      </c>
      <c r="U8" s="65">
        <v>17.797999999999998</v>
      </c>
      <c r="V8" s="65">
        <v>18.295999999999999</v>
      </c>
      <c r="W8" s="65">
        <v>18.827000000000002</v>
      </c>
      <c r="X8" s="65">
        <v>19.628</v>
      </c>
      <c r="Y8" s="65">
        <v>20.591000000000001</v>
      </c>
      <c r="Z8" s="65">
        <v>21.677</v>
      </c>
      <c r="AA8" s="65">
        <v>22.776</v>
      </c>
      <c r="AB8" s="65">
        <v>23.760999999999999</v>
      </c>
      <c r="AC8" s="65">
        <v>25.062999999999999</v>
      </c>
      <c r="AD8" s="65">
        <v>27.318000000000001</v>
      </c>
      <c r="AE8" s="65">
        <v>29.849</v>
      </c>
      <c r="AF8" s="65">
        <v>31.491</v>
      </c>
      <c r="AG8" s="65">
        <v>33.448</v>
      </c>
      <c r="AH8" s="65">
        <v>35.801000000000002</v>
      </c>
      <c r="AI8" s="65">
        <v>38.771000000000001</v>
      </c>
      <c r="AJ8" s="65">
        <v>42.273000000000003</v>
      </c>
      <c r="AK8" s="65">
        <v>46.273000000000003</v>
      </c>
      <c r="AL8" s="65">
        <v>49.131999999999998</v>
      </c>
      <c r="AM8" s="65">
        <v>51.055999999999997</v>
      </c>
      <c r="AN8" s="65">
        <v>52.898000000000003</v>
      </c>
      <c r="AO8" s="65">
        <v>54.570999999999998</v>
      </c>
      <c r="AP8" s="65">
        <v>55.67</v>
      </c>
      <c r="AQ8" s="65">
        <v>57.045999999999999</v>
      </c>
      <c r="AR8" s="65">
        <v>59.058999999999997</v>
      </c>
      <c r="AS8" s="65">
        <v>61.374000000000002</v>
      </c>
      <c r="AT8" s="65">
        <v>63.670999999999999</v>
      </c>
      <c r="AU8" s="65">
        <v>65.825000000000003</v>
      </c>
      <c r="AV8" s="65">
        <v>67.325000000000003</v>
      </c>
      <c r="AW8" s="65">
        <v>68.92</v>
      </c>
      <c r="AX8" s="65">
        <v>70.391999999999996</v>
      </c>
      <c r="AY8" s="65">
        <v>71.867999999999995</v>
      </c>
      <c r="AZ8" s="65">
        <v>73.183000000000007</v>
      </c>
      <c r="BA8" s="65">
        <v>74.444999999999993</v>
      </c>
      <c r="BB8" s="65">
        <v>75.283000000000001</v>
      </c>
      <c r="BC8" s="65">
        <v>76.37</v>
      </c>
      <c r="BD8" s="65">
        <v>78.078000000000003</v>
      </c>
      <c r="BE8" s="65">
        <v>79.790000000000006</v>
      </c>
      <c r="BF8" s="65">
        <v>81.052000000000007</v>
      </c>
      <c r="BG8" s="65">
        <v>82.557000000000002</v>
      </c>
      <c r="BH8" s="65">
        <v>84.78</v>
      </c>
      <c r="BI8" s="65">
        <v>87.421000000000006</v>
      </c>
      <c r="BJ8" s="65">
        <v>90.066000000000003</v>
      </c>
      <c r="BK8" s="65">
        <v>92.486000000000004</v>
      </c>
      <c r="BL8" s="65">
        <v>94.284999999999997</v>
      </c>
      <c r="BM8" s="65">
        <v>95.004000000000005</v>
      </c>
      <c r="BN8" s="65">
        <v>96.111000000000004</v>
      </c>
      <c r="BO8" s="65">
        <v>98.117999999999995</v>
      </c>
      <c r="BP8" s="65">
        <v>100</v>
      </c>
      <c r="BQ8" s="65">
        <v>101.755</v>
      </c>
      <c r="BR8" s="65">
        <v>103.68</v>
      </c>
      <c r="BS8" s="65">
        <v>104.789</v>
      </c>
      <c r="BT8" s="65">
        <v>105.935</v>
      </c>
      <c r="BU8" s="65">
        <v>107.94799999999999</v>
      </c>
    </row>
    <row r="9" spans="1:73" ht="13" x14ac:dyDescent="0.3">
      <c r="A9" s="65" t="s">
        <v>130</v>
      </c>
      <c r="B9" s="7" t="s">
        <v>131</v>
      </c>
      <c r="C9" s="65">
        <v>12.516999999999999</v>
      </c>
      <c r="D9" s="65">
        <v>13.225</v>
      </c>
      <c r="E9" s="65">
        <v>13.122</v>
      </c>
      <c r="F9" s="65">
        <v>13.278</v>
      </c>
      <c r="G9" s="65">
        <v>14.182</v>
      </c>
      <c r="H9" s="65">
        <v>14.473000000000001</v>
      </c>
      <c r="I9" s="65">
        <v>14.663</v>
      </c>
      <c r="J9" s="65">
        <v>14.787000000000001</v>
      </c>
      <c r="K9" s="65">
        <v>14.845000000000001</v>
      </c>
      <c r="L9" s="65">
        <v>15.14</v>
      </c>
      <c r="M9" s="65">
        <v>15.6</v>
      </c>
      <c r="N9" s="65">
        <v>15.968999999999999</v>
      </c>
      <c r="O9" s="65">
        <v>16.207000000000001</v>
      </c>
      <c r="P9" s="65">
        <v>16.472999999999999</v>
      </c>
      <c r="Q9" s="65">
        <v>16.643999999999998</v>
      </c>
      <c r="R9" s="65">
        <v>16.838999999999999</v>
      </c>
      <c r="S9" s="65">
        <v>17.04</v>
      </c>
      <c r="T9" s="65">
        <v>17.286999999999999</v>
      </c>
      <c r="U9" s="65">
        <v>17.536000000000001</v>
      </c>
      <c r="V9" s="65">
        <v>17.978999999999999</v>
      </c>
      <c r="W9" s="65">
        <v>18.431000000000001</v>
      </c>
      <c r="X9" s="65">
        <v>19.152000000000001</v>
      </c>
      <c r="Y9" s="65">
        <v>20.015000000000001</v>
      </c>
      <c r="Z9" s="65">
        <v>20.951000000000001</v>
      </c>
      <c r="AA9" s="65">
        <v>21.841000000000001</v>
      </c>
      <c r="AB9" s="65">
        <v>22.585999999999999</v>
      </c>
      <c r="AC9" s="65">
        <v>23.802</v>
      </c>
      <c r="AD9" s="65">
        <v>26.28</v>
      </c>
      <c r="AE9" s="65">
        <v>28.47</v>
      </c>
      <c r="AF9" s="65">
        <v>30.032</v>
      </c>
      <c r="AG9" s="65">
        <v>31.986000000000001</v>
      </c>
      <c r="AH9" s="65">
        <v>34.210999999999999</v>
      </c>
      <c r="AI9" s="65">
        <v>37.250999999999998</v>
      </c>
      <c r="AJ9" s="65">
        <v>41.262</v>
      </c>
      <c r="AK9" s="65">
        <v>44.957999999999998</v>
      </c>
      <c r="AL9" s="65">
        <v>47.456000000000003</v>
      </c>
      <c r="AM9" s="65">
        <v>49.473999999999997</v>
      </c>
      <c r="AN9" s="65">
        <v>51.343000000000004</v>
      </c>
      <c r="AO9" s="65">
        <v>53.134</v>
      </c>
      <c r="AP9" s="65">
        <v>54.29</v>
      </c>
      <c r="AQ9" s="65">
        <v>55.963999999999999</v>
      </c>
      <c r="AR9" s="65">
        <v>58.151000000000003</v>
      </c>
      <c r="AS9" s="65">
        <v>60.69</v>
      </c>
      <c r="AT9" s="65">
        <v>63.354999999999997</v>
      </c>
      <c r="AU9" s="65">
        <v>65.472999999999999</v>
      </c>
      <c r="AV9" s="65">
        <v>67.218000000000004</v>
      </c>
      <c r="AW9" s="65">
        <v>68.891999999999996</v>
      </c>
      <c r="AX9" s="65">
        <v>70.33</v>
      </c>
      <c r="AY9" s="65">
        <v>71.811000000000007</v>
      </c>
      <c r="AZ9" s="65">
        <v>73.346000000000004</v>
      </c>
      <c r="BA9" s="65">
        <v>74.623000000000005</v>
      </c>
      <c r="BB9" s="65">
        <v>75.215999999999994</v>
      </c>
      <c r="BC9" s="65">
        <v>76.337999999999994</v>
      </c>
      <c r="BD9" s="65">
        <v>78.234999999999999</v>
      </c>
      <c r="BE9" s="65">
        <v>79.738</v>
      </c>
      <c r="BF9" s="65">
        <v>80.789000000000001</v>
      </c>
      <c r="BG9" s="65">
        <v>82.358000000000004</v>
      </c>
      <c r="BH9" s="65">
        <v>84.411000000000001</v>
      </c>
      <c r="BI9" s="65">
        <v>86.811999999999998</v>
      </c>
      <c r="BJ9" s="65">
        <v>89.174000000000007</v>
      </c>
      <c r="BK9" s="65">
        <v>91.438000000000002</v>
      </c>
      <c r="BL9" s="65">
        <v>94.18</v>
      </c>
      <c r="BM9" s="65">
        <v>94.093999999999994</v>
      </c>
      <c r="BN9" s="65">
        <v>95.704999999999998</v>
      </c>
      <c r="BO9" s="65">
        <v>98.131</v>
      </c>
      <c r="BP9" s="65">
        <v>100</v>
      </c>
      <c r="BQ9" s="65">
        <v>101.346</v>
      </c>
      <c r="BR9" s="65">
        <v>102.86799999999999</v>
      </c>
      <c r="BS9" s="65">
        <v>103.126</v>
      </c>
      <c r="BT9" s="65">
        <v>104.235</v>
      </c>
      <c r="BU9" s="65">
        <v>106.07299999999999</v>
      </c>
    </row>
    <row r="10" spans="1:73" x14ac:dyDescent="0.25">
      <c r="A10" s="65" t="s">
        <v>132</v>
      </c>
      <c r="B10" s="65" t="s">
        <v>133</v>
      </c>
      <c r="C10" s="65">
        <v>21.957000000000001</v>
      </c>
      <c r="D10" s="65">
        <v>23.251999999999999</v>
      </c>
      <c r="E10" s="65">
        <v>22.709</v>
      </c>
      <c r="F10" s="65">
        <v>22.78</v>
      </c>
      <c r="G10" s="65">
        <v>24.619</v>
      </c>
      <c r="H10" s="65">
        <v>24.856000000000002</v>
      </c>
      <c r="I10" s="65">
        <v>24.742000000000001</v>
      </c>
      <c r="J10" s="65">
        <v>24.648</v>
      </c>
      <c r="K10" s="65">
        <v>24.503</v>
      </c>
      <c r="L10" s="65">
        <v>24.919</v>
      </c>
      <c r="M10" s="65">
        <v>25.699000000000002</v>
      </c>
      <c r="N10" s="65">
        <v>26.283999999999999</v>
      </c>
      <c r="O10" s="65">
        <v>26.417999999999999</v>
      </c>
      <c r="P10" s="65">
        <v>26.625</v>
      </c>
      <c r="Q10" s="65">
        <v>26.725000000000001</v>
      </c>
      <c r="R10" s="65">
        <v>26.863</v>
      </c>
      <c r="S10" s="65">
        <v>27.085999999999999</v>
      </c>
      <c r="T10" s="65">
        <v>27.381</v>
      </c>
      <c r="U10" s="65">
        <v>27.669</v>
      </c>
      <c r="V10" s="65">
        <v>28.277999999999999</v>
      </c>
      <c r="W10" s="65">
        <v>28.777000000000001</v>
      </c>
      <c r="X10" s="65">
        <v>29.78</v>
      </c>
      <c r="Y10" s="65">
        <v>30.934000000000001</v>
      </c>
      <c r="Z10" s="65">
        <v>32.113999999999997</v>
      </c>
      <c r="AA10" s="65">
        <v>33.079000000000001</v>
      </c>
      <c r="AB10" s="65">
        <v>33.926000000000002</v>
      </c>
      <c r="AC10" s="65">
        <v>35.948999999999998</v>
      </c>
      <c r="AD10" s="65">
        <v>40.436</v>
      </c>
      <c r="AE10" s="65">
        <v>43.703000000000003</v>
      </c>
      <c r="AF10" s="65">
        <v>45.412999999999997</v>
      </c>
      <c r="AG10" s="65">
        <v>47.837000000000003</v>
      </c>
      <c r="AH10" s="65">
        <v>50.773000000000003</v>
      </c>
      <c r="AI10" s="65">
        <v>55.573999999999998</v>
      </c>
      <c r="AJ10" s="65">
        <v>61.796999999999997</v>
      </c>
      <c r="AK10" s="65">
        <v>66.388999999999996</v>
      </c>
      <c r="AL10" s="65">
        <v>68.197999999999993</v>
      </c>
      <c r="AM10" s="65">
        <v>69.429000000000002</v>
      </c>
      <c r="AN10" s="65">
        <v>70.742000000000004</v>
      </c>
      <c r="AO10" s="65">
        <v>71.876999999999995</v>
      </c>
      <c r="AP10" s="65">
        <v>71.540999999999997</v>
      </c>
      <c r="AQ10" s="65">
        <v>73.841999999999999</v>
      </c>
      <c r="AR10" s="65">
        <v>75.787999999999997</v>
      </c>
      <c r="AS10" s="65">
        <v>78.703999999999994</v>
      </c>
      <c r="AT10" s="65">
        <v>81.927000000000007</v>
      </c>
      <c r="AU10" s="65">
        <v>83.93</v>
      </c>
      <c r="AV10" s="65">
        <v>84.942999999999998</v>
      </c>
      <c r="AW10" s="65">
        <v>85.680999999999997</v>
      </c>
      <c r="AX10" s="65">
        <v>86.552000000000007</v>
      </c>
      <c r="AY10" s="65">
        <v>87.361000000000004</v>
      </c>
      <c r="AZ10" s="65">
        <v>88.320999999999998</v>
      </c>
      <c r="BA10" s="65">
        <v>88.218999999999994</v>
      </c>
      <c r="BB10" s="65">
        <v>86.893000000000001</v>
      </c>
      <c r="BC10" s="65">
        <v>87.349000000000004</v>
      </c>
      <c r="BD10" s="65">
        <v>89.081999999999994</v>
      </c>
      <c r="BE10" s="65">
        <v>89.015000000000001</v>
      </c>
      <c r="BF10" s="65">
        <v>88.165999999999997</v>
      </c>
      <c r="BG10" s="65">
        <v>88.054000000000002</v>
      </c>
      <c r="BH10" s="65">
        <v>89.292000000000002</v>
      </c>
      <c r="BI10" s="65">
        <v>91.084000000000003</v>
      </c>
      <c r="BJ10" s="65">
        <v>92.305999999999997</v>
      </c>
      <c r="BK10" s="65">
        <v>93.331000000000003</v>
      </c>
      <c r="BL10" s="65">
        <v>96.122</v>
      </c>
      <c r="BM10" s="65">
        <v>93.811999999999998</v>
      </c>
      <c r="BN10" s="65">
        <v>95.183000000000007</v>
      </c>
      <c r="BO10" s="65">
        <v>98.772999999999996</v>
      </c>
      <c r="BP10" s="65">
        <v>100</v>
      </c>
      <c r="BQ10" s="65">
        <v>99.406999999999996</v>
      </c>
      <c r="BR10" s="65">
        <v>98.938999999999993</v>
      </c>
      <c r="BS10" s="65">
        <v>95.888999999999996</v>
      </c>
      <c r="BT10" s="65">
        <v>94.34</v>
      </c>
      <c r="BU10" s="65">
        <v>94.632000000000005</v>
      </c>
    </row>
    <row r="11" spans="1:73" x14ac:dyDescent="0.25">
      <c r="A11" s="65" t="s">
        <v>134</v>
      </c>
      <c r="B11" s="65" t="s">
        <v>135</v>
      </c>
      <c r="C11" s="65">
        <v>47.106999999999999</v>
      </c>
      <c r="D11" s="65">
        <v>49.515999999999998</v>
      </c>
      <c r="E11" s="65">
        <v>49.854999999999997</v>
      </c>
      <c r="F11" s="65">
        <v>50.109000000000002</v>
      </c>
      <c r="G11" s="65">
        <v>53.466999999999999</v>
      </c>
      <c r="H11" s="65">
        <v>53.8</v>
      </c>
      <c r="I11" s="65">
        <v>53.377000000000002</v>
      </c>
      <c r="J11" s="65">
        <v>52.207999999999998</v>
      </c>
      <c r="K11" s="65">
        <v>52.006</v>
      </c>
      <c r="L11" s="65">
        <v>53.259</v>
      </c>
      <c r="M11" s="65">
        <v>55.219000000000001</v>
      </c>
      <c r="N11" s="65">
        <v>56.222000000000001</v>
      </c>
      <c r="O11" s="65">
        <v>57.115000000000002</v>
      </c>
      <c r="P11" s="65">
        <v>56.899000000000001</v>
      </c>
      <c r="Q11" s="65">
        <v>57.042999999999999</v>
      </c>
      <c r="R11" s="65">
        <v>57.287999999999997</v>
      </c>
      <c r="S11" s="65">
        <v>57.506999999999998</v>
      </c>
      <c r="T11" s="65">
        <v>57.767000000000003</v>
      </c>
      <c r="U11" s="65">
        <v>57.292999999999999</v>
      </c>
      <c r="V11" s="65">
        <v>57.167999999999999</v>
      </c>
      <c r="W11" s="65">
        <v>58.085999999999999</v>
      </c>
      <c r="X11" s="65">
        <v>59.948</v>
      </c>
      <c r="Y11" s="65">
        <v>61.637999999999998</v>
      </c>
      <c r="Z11" s="65">
        <v>62.966999999999999</v>
      </c>
      <c r="AA11" s="65">
        <v>65.141000000000005</v>
      </c>
      <c r="AB11" s="65">
        <v>65.858999999999995</v>
      </c>
      <c r="AC11" s="65">
        <v>66.834000000000003</v>
      </c>
      <c r="AD11" s="65">
        <v>71.221999999999994</v>
      </c>
      <c r="AE11" s="65">
        <v>77.596000000000004</v>
      </c>
      <c r="AF11" s="65">
        <v>81.84</v>
      </c>
      <c r="AG11" s="65">
        <v>85.504999999999995</v>
      </c>
      <c r="AH11" s="65">
        <v>90.290999999999997</v>
      </c>
      <c r="AI11" s="65">
        <v>96.275000000000006</v>
      </c>
      <c r="AJ11" s="65">
        <v>104.63</v>
      </c>
      <c r="AK11" s="65">
        <v>111.627</v>
      </c>
      <c r="AL11" s="65">
        <v>115.98099999999999</v>
      </c>
      <c r="AM11" s="65">
        <v>118.33199999999999</v>
      </c>
      <c r="AN11" s="65">
        <v>120.08199999999999</v>
      </c>
      <c r="AO11" s="65">
        <v>121.352</v>
      </c>
      <c r="AP11" s="65">
        <v>122.687</v>
      </c>
      <c r="AQ11" s="65">
        <v>126.217</v>
      </c>
      <c r="AR11" s="65">
        <v>128.29900000000001</v>
      </c>
      <c r="AS11" s="65">
        <v>130.637</v>
      </c>
      <c r="AT11" s="65">
        <v>131.935</v>
      </c>
      <c r="AU11" s="65">
        <v>133.86799999999999</v>
      </c>
      <c r="AV11" s="65">
        <v>134.79300000000001</v>
      </c>
      <c r="AW11" s="65">
        <v>136.12</v>
      </c>
      <c r="AX11" s="65">
        <v>138.78399999999999</v>
      </c>
      <c r="AY11" s="65">
        <v>139.797</v>
      </c>
      <c r="AZ11" s="65">
        <v>138.386</v>
      </c>
      <c r="BA11" s="65">
        <v>135.364</v>
      </c>
      <c r="BB11" s="65">
        <v>131.53800000000001</v>
      </c>
      <c r="BC11" s="65">
        <v>127.994</v>
      </c>
      <c r="BD11" s="65">
        <v>125.717</v>
      </c>
      <c r="BE11" s="65">
        <v>123.254</v>
      </c>
      <c r="BF11" s="65">
        <v>120.143</v>
      </c>
      <c r="BG11" s="65">
        <v>115.752</v>
      </c>
      <c r="BH11" s="65">
        <v>113.488</v>
      </c>
      <c r="BI11" s="65">
        <v>112.309</v>
      </c>
      <c r="BJ11" s="65">
        <v>110.38800000000001</v>
      </c>
      <c r="BK11" s="65">
        <v>108.038</v>
      </c>
      <c r="BL11" s="65">
        <v>106.012</v>
      </c>
      <c r="BM11" s="65">
        <v>104.02</v>
      </c>
      <c r="BN11" s="65">
        <v>102.107</v>
      </c>
      <c r="BO11" s="65">
        <v>101.28</v>
      </c>
      <c r="BP11" s="65">
        <v>100</v>
      </c>
      <c r="BQ11" s="65">
        <v>97.968000000000004</v>
      </c>
      <c r="BR11" s="65">
        <v>95.495999999999995</v>
      </c>
      <c r="BS11" s="65">
        <v>93.364999999999995</v>
      </c>
      <c r="BT11" s="65">
        <v>91.183000000000007</v>
      </c>
      <c r="BU11" s="65">
        <v>89.135999999999996</v>
      </c>
    </row>
    <row r="12" spans="1:73" x14ac:dyDescent="0.25">
      <c r="A12" s="65" t="s">
        <v>136</v>
      </c>
      <c r="B12" s="65" t="s">
        <v>137</v>
      </c>
      <c r="C12" s="65">
        <v>14.869</v>
      </c>
      <c r="D12" s="65">
        <v>15.78</v>
      </c>
      <c r="E12" s="65">
        <v>15.266</v>
      </c>
      <c r="F12" s="65">
        <v>15.304</v>
      </c>
      <c r="G12" s="65">
        <v>16.614999999999998</v>
      </c>
      <c r="H12" s="65">
        <v>16.794</v>
      </c>
      <c r="I12" s="65">
        <v>16.734999999999999</v>
      </c>
      <c r="J12" s="65">
        <v>16.774999999999999</v>
      </c>
      <c r="K12" s="65">
        <v>16.666</v>
      </c>
      <c r="L12" s="65">
        <v>16.905000000000001</v>
      </c>
      <c r="M12" s="65">
        <v>17.399999999999999</v>
      </c>
      <c r="N12" s="65">
        <v>17.824000000000002</v>
      </c>
      <c r="O12" s="65">
        <v>17.850000000000001</v>
      </c>
      <c r="P12" s="65">
        <v>18.062999999999999</v>
      </c>
      <c r="Q12" s="65">
        <v>18.138999999999999</v>
      </c>
      <c r="R12" s="65">
        <v>18.238</v>
      </c>
      <c r="S12" s="65">
        <v>18.419</v>
      </c>
      <c r="T12" s="65">
        <v>18.664999999999999</v>
      </c>
      <c r="U12" s="65">
        <v>19.001999999999999</v>
      </c>
      <c r="V12" s="65">
        <v>19.61</v>
      </c>
      <c r="W12" s="65">
        <v>19.968</v>
      </c>
      <c r="X12" s="65">
        <v>20.687999999999999</v>
      </c>
      <c r="Y12" s="65">
        <v>21.582999999999998</v>
      </c>
      <c r="Z12" s="65">
        <v>22.553000000000001</v>
      </c>
      <c r="AA12" s="65">
        <v>23.19</v>
      </c>
      <c r="AB12" s="65">
        <v>23.933</v>
      </c>
      <c r="AC12" s="65">
        <v>25.863</v>
      </c>
      <c r="AD12" s="65">
        <v>29.774999999999999</v>
      </c>
      <c r="AE12" s="65">
        <v>32.076000000000001</v>
      </c>
      <c r="AF12" s="65">
        <v>33.119999999999997</v>
      </c>
      <c r="AG12" s="65">
        <v>35.018000000000001</v>
      </c>
      <c r="AH12" s="65">
        <v>37.256</v>
      </c>
      <c r="AI12" s="65">
        <v>41.271000000000001</v>
      </c>
      <c r="AJ12" s="65">
        <v>46.335000000000001</v>
      </c>
      <c r="AK12" s="65">
        <v>49.912999999999997</v>
      </c>
      <c r="AL12" s="65">
        <v>51.045999999999999</v>
      </c>
      <c r="AM12" s="65">
        <v>51.921999999999997</v>
      </c>
      <c r="AN12" s="65">
        <v>53.000999999999998</v>
      </c>
      <c r="AO12" s="65">
        <v>53.993000000000002</v>
      </c>
      <c r="AP12" s="65">
        <v>53.304000000000002</v>
      </c>
      <c r="AQ12" s="65">
        <v>55.116999999999997</v>
      </c>
      <c r="AR12" s="65">
        <v>56.869</v>
      </c>
      <c r="AS12" s="65">
        <v>59.69</v>
      </c>
      <c r="AT12" s="65">
        <v>63.112000000000002</v>
      </c>
      <c r="AU12" s="65">
        <v>64.954999999999998</v>
      </c>
      <c r="AV12" s="65">
        <v>65.897999999999996</v>
      </c>
      <c r="AW12" s="65">
        <v>66.433999999999997</v>
      </c>
      <c r="AX12" s="65">
        <v>66.787999999999997</v>
      </c>
      <c r="AY12" s="65">
        <v>67.486000000000004</v>
      </c>
      <c r="AZ12" s="65">
        <v>69.013999999999996</v>
      </c>
      <c r="BA12" s="65">
        <v>69.734999999999999</v>
      </c>
      <c r="BB12" s="65">
        <v>69.222999999999999</v>
      </c>
      <c r="BC12" s="65">
        <v>70.942999999999998</v>
      </c>
      <c r="BD12" s="65">
        <v>73.989999999999995</v>
      </c>
      <c r="BE12" s="65">
        <v>74.775999999999996</v>
      </c>
      <c r="BF12" s="65">
        <v>74.781000000000006</v>
      </c>
      <c r="BG12" s="65">
        <v>76.326999999999998</v>
      </c>
      <c r="BH12" s="65">
        <v>78.97</v>
      </c>
      <c r="BI12" s="65">
        <v>81.998000000000005</v>
      </c>
      <c r="BJ12" s="65">
        <v>84.552999999999997</v>
      </c>
      <c r="BK12" s="65">
        <v>87.040999999999997</v>
      </c>
      <c r="BL12" s="65">
        <v>91.903999999999996</v>
      </c>
      <c r="BM12" s="65">
        <v>89.466999999999999</v>
      </c>
      <c r="BN12" s="65">
        <v>92.182000000000002</v>
      </c>
      <c r="BO12" s="65">
        <v>97.652000000000001</v>
      </c>
      <c r="BP12" s="65">
        <v>100</v>
      </c>
      <c r="BQ12" s="65">
        <v>100.08199999999999</v>
      </c>
      <c r="BR12" s="65">
        <v>100.595</v>
      </c>
      <c r="BS12" s="65">
        <v>97.078999999999994</v>
      </c>
      <c r="BT12" s="65">
        <v>95.867000000000004</v>
      </c>
      <c r="BU12" s="65">
        <v>97.436999999999998</v>
      </c>
    </row>
    <row r="13" spans="1:73" x14ac:dyDescent="0.25">
      <c r="A13" s="65" t="s">
        <v>138</v>
      </c>
      <c r="B13" s="65" t="s">
        <v>139</v>
      </c>
      <c r="C13" s="65">
        <v>8.0370000000000008</v>
      </c>
      <c r="D13" s="65">
        <v>8.4619999999999997</v>
      </c>
      <c r="E13" s="65">
        <v>8.6050000000000004</v>
      </c>
      <c r="F13" s="65">
        <v>8.8249999999999993</v>
      </c>
      <c r="G13" s="65">
        <v>9.26</v>
      </c>
      <c r="H13" s="65">
        <v>9.5980000000000008</v>
      </c>
      <c r="I13" s="65">
        <v>9.968</v>
      </c>
      <c r="J13" s="65">
        <v>10.218</v>
      </c>
      <c r="K13" s="65">
        <v>10.391</v>
      </c>
      <c r="L13" s="65">
        <v>10.638</v>
      </c>
      <c r="M13" s="65">
        <v>10.949</v>
      </c>
      <c r="N13" s="65">
        <v>11.22</v>
      </c>
      <c r="O13" s="65">
        <v>11.521000000000001</v>
      </c>
      <c r="P13" s="65">
        <v>11.826000000000001</v>
      </c>
      <c r="Q13" s="65">
        <v>12.037000000000001</v>
      </c>
      <c r="R13" s="65">
        <v>12.265000000000001</v>
      </c>
      <c r="S13" s="65">
        <v>12.461</v>
      </c>
      <c r="T13" s="65">
        <v>12.689</v>
      </c>
      <c r="U13" s="65">
        <v>12.926</v>
      </c>
      <c r="V13" s="65">
        <v>13.298</v>
      </c>
      <c r="W13" s="65">
        <v>13.739000000000001</v>
      </c>
      <c r="X13" s="65">
        <v>14.337999999999999</v>
      </c>
      <c r="Y13" s="65">
        <v>15.077999999999999</v>
      </c>
      <c r="Z13" s="65">
        <v>15.913</v>
      </c>
      <c r="AA13" s="65">
        <v>16.780999999999999</v>
      </c>
      <c r="AB13" s="65">
        <v>17.491</v>
      </c>
      <c r="AC13" s="65">
        <v>18.335999999999999</v>
      </c>
      <c r="AD13" s="65">
        <v>19.89</v>
      </c>
      <c r="AE13" s="65">
        <v>21.594999999999999</v>
      </c>
      <c r="AF13" s="65">
        <v>23.093</v>
      </c>
      <c r="AG13" s="65">
        <v>24.841000000000001</v>
      </c>
      <c r="AH13" s="65">
        <v>26.75</v>
      </c>
      <c r="AI13" s="65">
        <v>28.994</v>
      </c>
      <c r="AJ13" s="65">
        <v>32.009</v>
      </c>
      <c r="AK13" s="65">
        <v>35.287999999999997</v>
      </c>
      <c r="AL13" s="65">
        <v>38.058</v>
      </c>
      <c r="AM13" s="65">
        <v>40.396000000000001</v>
      </c>
      <c r="AN13" s="65">
        <v>42.497999999999998</v>
      </c>
      <c r="AO13" s="65">
        <v>44.576999999999998</v>
      </c>
      <c r="AP13" s="65">
        <v>46.408000000000001</v>
      </c>
      <c r="AQ13" s="65">
        <v>47.795999999999999</v>
      </c>
      <c r="AR13" s="65">
        <v>50.082000000000001</v>
      </c>
      <c r="AS13" s="65">
        <v>52.442999999999998</v>
      </c>
      <c r="AT13" s="65">
        <v>54.845999999999997</v>
      </c>
      <c r="AU13" s="65">
        <v>56.991999999999997</v>
      </c>
      <c r="AV13" s="65">
        <v>59.018000000000001</v>
      </c>
      <c r="AW13" s="65">
        <v>61.058999999999997</v>
      </c>
      <c r="AX13" s="65">
        <v>62.719000000000001</v>
      </c>
      <c r="AY13" s="65">
        <v>64.471000000000004</v>
      </c>
      <c r="AZ13" s="65">
        <v>66.239999999999995</v>
      </c>
      <c r="BA13" s="65">
        <v>68.106999999999999</v>
      </c>
      <c r="BB13" s="65">
        <v>69.549000000000007</v>
      </c>
      <c r="BC13" s="65">
        <v>70.97</v>
      </c>
      <c r="BD13" s="65">
        <v>72.938000000000002</v>
      </c>
      <c r="BE13" s="65">
        <v>75.171000000000006</v>
      </c>
      <c r="BF13" s="65">
        <v>77.123000000000005</v>
      </c>
      <c r="BG13" s="65">
        <v>79.506</v>
      </c>
      <c r="BH13" s="65">
        <v>81.965000000000003</v>
      </c>
      <c r="BI13" s="65">
        <v>84.673000000000002</v>
      </c>
      <c r="BJ13" s="65">
        <v>87.616</v>
      </c>
      <c r="BK13" s="65">
        <v>90.516000000000005</v>
      </c>
      <c r="BL13" s="65">
        <v>93.234999999999999</v>
      </c>
      <c r="BM13" s="65">
        <v>94.230999999999995</v>
      </c>
      <c r="BN13" s="65">
        <v>95.956999999999994</v>
      </c>
      <c r="BO13" s="65">
        <v>97.813999999999993</v>
      </c>
      <c r="BP13" s="65">
        <v>100</v>
      </c>
      <c r="BQ13" s="65">
        <v>102.316</v>
      </c>
      <c r="BR13" s="65">
        <v>104.852</v>
      </c>
      <c r="BS13" s="65">
        <v>106.82299999999999</v>
      </c>
      <c r="BT13" s="65">
        <v>109.325</v>
      </c>
      <c r="BU13" s="65">
        <v>111.98399999999999</v>
      </c>
    </row>
    <row r="14" spans="1:73" ht="13" x14ac:dyDescent="0.3">
      <c r="A14" s="65" t="s">
        <v>140</v>
      </c>
      <c r="B14" s="7" t="s">
        <v>141</v>
      </c>
      <c r="C14" s="65">
        <v>17.510000000000002</v>
      </c>
      <c r="D14" s="65">
        <v>18.838000000000001</v>
      </c>
      <c r="E14" s="65">
        <v>18.917999999999999</v>
      </c>
      <c r="F14" s="65">
        <v>19.635000000000002</v>
      </c>
      <c r="G14" s="65">
        <v>21.745999999999999</v>
      </c>
      <c r="H14" s="65">
        <v>21.61</v>
      </c>
      <c r="I14" s="65">
        <v>21.582999999999998</v>
      </c>
      <c r="J14" s="65">
        <v>21.594000000000001</v>
      </c>
      <c r="K14" s="65">
        <v>22.277000000000001</v>
      </c>
      <c r="L14" s="65">
        <v>23.529</v>
      </c>
      <c r="M14" s="65">
        <v>24.071999999999999</v>
      </c>
      <c r="N14" s="65">
        <v>24.067</v>
      </c>
      <c r="O14" s="65">
        <v>24.378</v>
      </c>
      <c r="P14" s="65">
        <v>24.518000000000001</v>
      </c>
      <c r="Q14" s="65">
        <v>24.47</v>
      </c>
      <c r="R14" s="65">
        <v>24.495999999999999</v>
      </c>
      <c r="S14" s="65">
        <v>24.43</v>
      </c>
      <c r="T14" s="65">
        <v>24.588000000000001</v>
      </c>
      <c r="U14" s="65">
        <v>24.968</v>
      </c>
      <c r="V14" s="65">
        <v>25.481000000000002</v>
      </c>
      <c r="W14" s="65">
        <v>26.132000000000001</v>
      </c>
      <c r="X14" s="65">
        <v>27.116</v>
      </c>
      <c r="Y14" s="65">
        <v>28.408999999999999</v>
      </c>
      <c r="Z14" s="65">
        <v>29.635999999999999</v>
      </c>
      <c r="AA14" s="65">
        <v>31.097000000000001</v>
      </c>
      <c r="AB14" s="65">
        <v>32.396000000000001</v>
      </c>
      <c r="AC14" s="65">
        <v>34.164999999999999</v>
      </c>
      <c r="AD14" s="65">
        <v>37.630000000000003</v>
      </c>
      <c r="AE14" s="65">
        <v>42.079000000000001</v>
      </c>
      <c r="AF14" s="65">
        <v>44.396999999999998</v>
      </c>
      <c r="AG14" s="65">
        <v>47.674999999999997</v>
      </c>
      <c r="AH14" s="65">
        <v>51.542000000000002</v>
      </c>
      <c r="AI14" s="65">
        <v>56.174999999999997</v>
      </c>
      <c r="AJ14" s="65">
        <v>61.353999999999999</v>
      </c>
      <c r="AK14" s="65">
        <v>67.147999999999996</v>
      </c>
      <c r="AL14" s="65">
        <v>70.688000000000002</v>
      </c>
      <c r="AM14" s="65">
        <v>70.938999999999993</v>
      </c>
      <c r="AN14" s="65">
        <v>71.688999999999993</v>
      </c>
      <c r="AO14" s="65">
        <v>72.570999999999998</v>
      </c>
      <c r="AP14" s="65">
        <v>74.159000000000006</v>
      </c>
      <c r="AQ14" s="65">
        <v>75.763999999999996</v>
      </c>
      <c r="AR14" s="65">
        <v>77.652000000000001</v>
      </c>
      <c r="AS14" s="65">
        <v>79.63</v>
      </c>
      <c r="AT14" s="65">
        <v>81.227999999999994</v>
      </c>
      <c r="AU14" s="65">
        <v>82.683999999999997</v>
      </c>
      <c r="AV14" s="65">
        <v>82.671999999999997</v>
      </c>
      <c r="AW14" s="65">
        <v>83.641000000000005</v>
      </c>
      <c r="AX14" s="65">
        <v>84.908000000000001</v>
      </c>
      <c r="AY14" s="65">
        <v>86.263000000000005</v>
      </c>
      <c r="AZ14" s="65">
        <v>86.227000000000004</v>
      </c>
      <c r="BA14" s="65">
        <v>86.239000000000004</v>
      </c>
      <c r="BB14" s="65">
        <v>85.706000000000003</v>
      </c>
      <c r="BC14" s="65">
        <v>85.825999999999993</v>
      </c>
      <c r="BD14" s="65">
        <v>86.861999999999995</v>
      </c>
      <c r="BE14" s="65">
        <v>87.367000000000004</v>
      </c>
      <c r="BF14" s="65">
        <v>87.927000000000007</v>
      </c>
      <c r="BG14" s="65">
        <v>88.503</v>
      </c>
      <c r="BH14" s="65">
        <v>91.156999999999996</v>
      </c>
      <c r="BI14" s="65">
        <v>94.912999999999997</v>
      </c>
      <c r="BJ14" s="65">
        <v>98.13</v>
      </c>
      <c r="BK14" s="65">
        <v>99.584999999999994</v>
      </c>
      <c r="BL14" s="65">
        <v>100.59699999999999</v>
      </c>
      <c r="BM14" s="65">
        <v>99.366</v>
      </c>
      <c r="BN14" s="65">
        <v>97.698999999999998</v>
      </c>
      <c r="BO14" s="65">
        <v>98.748000000000005</v>
      </c>
      <c r="BP14" s="65">
        <v>100</v>
      </c>
      <c r="BQ14" s="65">
        <v>100.876</v>
      </c>
      <c r="BR14" s="65">
        <v>102.959</v>
      </c>
      <c r="BS14" s="65">
        <v>103.873</v>
      </c>
      <c r="BT14" s="65">
        <v>103.914</v>
      </c>
      <c r="BU14" s="65">
        <v>105.36</v>
      </c>
    </row>
    <row r="15" spans="1:73" x14ac:dyDescent="0.25">
      <c r="A15" s="65" t="s">
        <v>142</v>
      </c>
      <c r="B15" s="65" t="s">
        <v>143</v>
      </c>
      <c r="C15" s="65">
        <v>16.28</v>
      </c>
      <c r="D15" s="65">
        <v>17.641999999999999</v>
      </c>
      <c r="E15" s="65">
        <v>17.98</v>
      </c>
      <c r="F15" s="65">
        <v>18.38</v>
      </c>
      <c r="G15" s="65">
        <v>19.943999999999999</v>
      </c>
      <c r="H15" s="65">
        <v>20.420000000000002</v>
      </c>
      <c r="I15" s="65">
        <v>20.599</v>
      </c>
      <c r="J15" s="65">
        <v>20.754000000000001</v>
      </c>
      <c r="K15" s="65">
        <v>21.106000000000002</v>
      </c>
      <c r="L15" s="65">
        <v>22.315000000000001</v>
      </c>
      <c r="M15" s="65">
        <v>23.077999999999999</v>
      </c>
      <c r="N15" s="65">
        <v>23.172999999999998</v>
      </c>
      <c r="O15" s="65">
        <v>23.408000000000001</v>
      </c>
      <c r="P15" s="65">
        <v>23.553999999999998</v>
      </c>
      <c r="Q15" s="65">
        <v>23.501000000000001</v>
      </c>
      <c r="R15" s="65">
        <v>23.527000000000001</v>
      </c>
      <c r="S15" s="65">
        <v>23.47</v>
      </c>
      <c r="T15" s="65">
        <v>23.632999999999999</v>
      </c>
      <c r="U15" s="65">
        <v>24.018999999999998</v>
      </c>
      <c r="V15" s="65">
        <v>24.523</v>
      </c>
      <c r="W15" s="65">
        <v>25.184999999999999</v>
      </c>
      <c r="X15" s="65">
        <v>26.196000000000002</v>
      </c>
      <c r="Y15" s="65">
        <v>27.498000000000001</v>
      </c>
      <c r="Z15" s="65">
        <v>28.699000000000002</v>
      </c>
      <c r="AA15" s="65">
        <v>30.134</v>
      </c>
      <c r="AB15" s="65">
        <v>31.42</v>
      </c>
      <c r="AC15" s="65">
        <v>33.168999999999997</v>
      </c>
      <c r="AD15" s="65">
        <v>36.448999999999998</v>
      </c>
      <c r="AE15" s="65">
        <v>40.874000000000002</v>
      </c>
      <c r="AF15" s="65">
        <v>43.231999999999999</v>
      </c>
      <c r="AG15" s="65">
        <v>46.55</v>
      </c>
      <c r="AH15" s="65">
        <v>50.444000000000003</v>
      </c>
      <c r="AI15" s="65">
        <v>54.976999999999997</v>
      </c>
      <c r="AJ15" s="65">
        <v>60.104999999999997</v>
      </c>
      <c r="AK15" s="65">
        <v>65.623999999999995</v>
      </c>
      <c r="AL15" s="65">
        <v>69.311000000000007</v>
      </c>
      <c r="AM15" s="65">
        <v>69.575000000000003</v>
      </c>
      <c r="AN15" s="65">
        <v>70.253</v>
      </c>
      <c r="AO15" s="65">
        <v>71.277000000000001</v>
      </c>
      <c r="AP15" s="65">
        <v>73.021000000000001</v>
      </c>
      <c r="AQ15" s="65">
        <v>74.506</v>
      </c>
      <c r="AR15" s="65">
        <v>76.585999999999999</v>
      </c>
      <c r="AS15" s="65">
        <v>78.561000000000007</v>
      </c>
      <c r="AT15" s="65">
        <v>80.278000000000006</v>
      </c>
      <c r="AU15" s="65">
        <v>81.683000000000007</v>
      </c>
      <c r="AV15" s="65">
        <v>81.727999999999994</v>
      </c>
      <c r="AW15" s="65">
        <v>82.710999999999999</v>
      </c>
      <c r="AX15" s="65">
        <v>83.983000000000004</v>
      </c>
      <c r="AY15" s="65">
        <v>85.378</v>
      </c>
      <c r="AZ15" s="65">
        <v>85.45</v>
      </c>
      <c r="BA15" s="65">
        <v>85.599000000000004</v>
      </c>
      <c r="BB15" s="65">
        <v>85.132999999999996</v>
      </c>
      <c r="BC15" s="65">
        <v>85.277000000000001</v>
      </c>
      <c r="BD15" s="65">
        <v>86.486000000000004</v>
      </c>
      <c r="BE15" s="65">
        <v>87.241</v>
      </c>
      <c r="BF15" s="65">
        <v>87.5</v>
      </c>
      <c r="BG15" s="65">
        <v>88.265000000000001</v>
      </c>
      <c r="BH15" s="65">
        <v>90.843000000000004</v>
      </c>
      <c r="BI15" s="65">
        <v>94.596999999999994</v>
      </c>
      <c r="BJ15" s="65">
        <v>97.957999999999998</v>
      </c>
      <c r="BK15" s="65">
        <v>99.456000000000003</v>
      </c>
      <c r="BL15" s="65">
        <v>100.29600000000001</v>
      </c>
      <c r="BM15" s="65">
        <v>99.075999999999993</v>
      </c>
      <c r="BN15" s="65">
        <v>97.567999999999998</v>
      </c>
      <c r="BO15" s="65">
        <v>98.641000000000005</v>
      </c>
      <c r="BP15" s="65">
        <v>100</v>
      </c>
      <c r="BQ15" s="65">
        <v>101.09099999999999</v>
      </c>
      <c r="BR15" s="65">
        <v>103.25</v>
      </c>
      <c r="BS15" s="65">
        <v>104.217</v>
      </c>
      <c r="BT15" s="65">
        <v>104.357</v>
      </c>
      <c r="BU15" s="65">
        <v>105.93899999999999</v>
      </c>
    </row>
    <row r="16" spans="1:73" x14ac:dyDescent="0.25">
      <c r="A16" s="65" t="s">
        <v>144</v>
      </c>
      <c r="B16" s="65" t="s">
        <v>145</v>
      </c>
      <c r="C16" s="65">
        <v>20.106000000000002</v>
      </c>
      <c r="D16" s="65">
        <v>21.785</v>
      </c>
      <c r="E16" s="65" t="e">
        <f>'GDP Implicit Price Deflator'!BU8?</f>
        <v>#NAME?</v>
      </c>
      <c r="F16" s="65">
        <v>22.733000000000001</v>
      </c>
      <c r="G16" s="65">
        <v>24.856999999999999</v>
      </c>
      <c r="H16" s="65">
        <v>25.4</v>
      </c>
      <c r="I16" s="65">
        <v>25.645</v>
      </c>
      <c r="J16" s="65">
        <v>25.884</v>
      </c>
      <c r="K16" s="65">
        <v>26.266999999999999</v>
      </c>
      <c r="L16" s="65">
        <v>28.224</v>
      </c>
      <c r="M16" s="65">
        <v>29.603000000000002</v>
      </c>
      <c r="N16" s="65">
        <v>29.812999999999999</v>
      </c>
      <c r="O16" s="65">
        <v>30.222999999999999</v>
      </c>
      <c r="P16" s="65">
        <v>30.404</v>
      </c>
      <c r="Q16" s="65">
        <v>30.28</v>
      </c>
      <c r="R16" s="65">
        <v>30.308</v>
      </c>
      <c r="S16" s="65">
        <v>30.315000000000001</v>
      </c>
      <c r="T16" s="65">
        <v>30.513000000000002</v>
      </c>
      <c r="U16" s="65">
        <v>30.853000000000002</v>
      </c>
      <c r="V16" s="65">
        <v>31.327000000000002</v>
      </c>
      <c r="W16" s="65">
        <v>32.093000000000004</v>
      </c>
      <c r="X16" s="65">
        <v>33.237000000000002</v>
      </c>
      <c r="Y16" s="65">
        <v>34.637999999999998</v>
      </c>
      <c r="Z16" s="65">
        <v>36.295999999999999</v>
      </c>
      <c r="AA16" s="65">
        <v>37.997</v>
      </c>
      <c r="AB16" s="65">
        <v>39.296999999999997</v>
      </c>
      <c r="AC16" s="65">
        <v>40.881999999999998</v>
      </c>
      <c r="AD16" s="65">
        <v>44.856999999999999</v>
      </c>
      <c r="AE16" s="65">
        <v>50.765999999999998</v>
      </c>
      <c r="AF16" s="65">
        <v>53.561999999999998</v>
      </c>
      <c r="AG16" s="65">
        <v>57.110999999999997</v>
      </c>
      <c r="AH16" s="65">
        <v>60.93</v>
      </c>
      <c r="AI16" s="65">
        <v>65.83</v>
      </c>
      <c r="AJ16" s="65">
        <v>71.641000000000005</v>
      </c>
      <c r="AK16" s="65">
        <v>78.453000000000003</v>
      </c>
      <c r="AL16" s="65">
        <v>82.911000000000001</v>
      </c>
      <c r="AM16" s="65">
        <v>82.774000000000001</v>
      </c>
      <c r="AN16" s="65">
        <v>83.036000000000001</v>
      </c>
      <c r="AO16" s="65">
        <v>83.893000000000001</v>
      </c>
      <c r="AP16" s="65">
        <v>85.364999999999995</v>
      </c>
      <c r="AQ16" s="65">
        <v>86.338999999999999</v>
      </c>
      <c r="AR16" s="65">
        <v>88.513999999999996</v>
      </c>
      <c r="AS16" s="65">
        <v>90.572000000000003</v>
      </c>
      <c r="AT16" s="65">
        <v>92.516000000000005</v>
      </c>
      <c r="AU16" s="65">
        <v>94.266999999999996</v>
      </c>
      <c r="AV16" s="65">
        <v>93.96</v>
      </c>
      <c r="AW16" s="65">
        <v>94.161000000000001</v>
      </c>
      <c r="AX16" s="65">
        <v>94.903999999999996</v>
      </c>
      <c r="AY16" s="65">
        <v>95.849000000000004</v>
      </c>
      <c r="AZ16" s="65">
        <v>95.266999999999996</v>
      </c>
      <c r="BA16" s="65">
        <v>94.734999999999999</v>
      </c>
      <c r="BB16" s="65">
        <v>93.248000000000005</v>
      </c>
      <c r="BC16" s="65">
        <v>92.313999999999993</v>
      </c>
      <c r="BD16" s="65">
        <v>92.718000000000004</v>
      </c>
      <c r="BE16" s="65">
        <v>92.346000000000004</v>
      </c>
      <c r="BF16" s="65">
        <v>91.863</v>
      </c>
      <c r="BG16" s="65">
        <v>91.156000000000006</v>
      </c>
      <c r="BH16" s="65">
        <v>92.055000000000007</v>
      </c>
      <c r="BI16" s="65">
        <v>94.442999999999998</v>
      </c>
      <c r="BJ16" s="65">
        <v>96.745000000000005</v>
      </c>
      <c r="BK16" s="65">
        <v>98.31</v>
      </c>
      <c r="BL16" s="65">
        <v>99.831999999999994</v>
      </c>
      <c r="BM16" s="65">
        <v>99.183999999999997</v>
      </c>
      <c r="BN16" s="65">
        <v>97.415999999999997</v>
      </c>
      <c r="BO16" s="65">
        <v>98.558999999999997</v>
      </c>
      <c r="BP16" s="65">
        <v>100</v>
      </c>
      <c r="BQ16" s="65">
        <v>100.251</v>
      </c>
      <c r="BR16" s="65">
        <v>101.565</v>
      </c>
      <c r="BS16" s="65">
        <v>102.081</v>
      </c>
      <c r="BT16" s="65">
        <v>101.282</v>
      </c>
      <c r="BU16" s="65">
        <v>101.962</v>
      </c>
    </row>
    <row r="17" spans="1:73" x14ac:dyDescent="0.25">
      <c r="A17" s="65" t="s">
        <v>146</v>
      </c>
      <c r="B17" s="65" t="s">
        <v>147</v>
      </c>
      <c r="C17" s="65">
        <v>5.968</v>
      </c>
      <c r="D17" s="65">
        <v>6.6390000000000002</v>
      </c>
      <c r="E17" s="65">
        <v>6.6159999999999997</v>
      </c>
      <c r="F17" s="65">
        <v>6.6989999999999998</v>
      </c>
      <c r="G17" s="65">
        <v>7.4710000000000001</v>
      </c>
      <c r="H17" s="65">
        <v>7.6689999999999996</v>
      </c>
      <c r="I17" s="65">
        <v>7.819</v>
      </c>
      <c r="J17" s="65">
        <v>7.7240000000000002</v>
      </c>
      <c r="K17" s="65">
        <v>7.8789999999999996</v>
      </c>
      <c r="L17" s="65">
        <v>8.5530000000000008</v>
      </c>
      <c r="M17" s="65">
        <v>8.92</v>
      </c>
      <c r="N17" s="65">
        <v>8.7769999999999992</v>
      </c>
      <c r="O17" s="65">
        <v>8.8249999999999993</v>
      </c>
      <c r="P17" s="65">
        <v>8.8140000000000001</v>
      </c>
      <c r="Q17" s="65">
        <v>8.7609999999999992</v>
      </c>
      <c r="R17" s="65">
        <v>8.83</v>
      </c>
      <c r="S17" s="65">
        <v>8.9049999999999994</v>
      </c>
      <c r="T17" s="65">
        <v>9.032</v>
      </c>
      <c r="U17" s="65">
        <v>9.2940000000000005</v>
      </c>
      <c r="V17" s="65">
        <v>9.6289999999999996</v>
      </c>
      <c r="W17" s="65">
        <v>9.9290000000000003</v>
      </c>
      <c r="X17" s="65">
        <v>10.427</v>
      </c>
      <c r="Y17" s="65">
        <v>11.114000000000001</v>
      </c>
      <c r="Z17" s="65">
        <v>11.845000000000001</v>
      </c>
      <c r="AA17" s="65">
        <v>12.757</v>
      </c>
      <c r="AB17" s="65">
        <v>13.673999999999999</v>
      </c>
      <c r="AC17" s="65">
        <v>14.734</v>
      </c>
      <c r="AD17" s="65">
        <v>16.77</v>
      </c>
      <c r="AE17" s="65">
        <v>18.773</v>
      </c>
      <c r="AF17" s="65">
        <v>19.692</v>
      </c>
      <c r="AG17" s="65">
        <v>21.401</v>
      </c>
      <c r="AH17" s="65">
        <v>23.468</v>
      </c>
      <c r="AI17" s="65">
        <v>26.193999999999999</v>
      </c>
      <c r="AJ17" s="65">
        <v>28.629000000000001</v>
      </c>
      <c r="AK17" s="65">
        <v>32.566000000000003</v>
      </c>
      <c r="AL17" s="65">
        <v>35.136000000000003</v>
      </c>
      <c r="AM17" s="65">
        <v>34.241</v>
      </c>
      <c r="AN17" s="65">
        <v>34.54</v>
      </c>
      <c r="AO17" s="65">
        <v>35.360999999999997</v>
      </c>
      <c r="AP17" s="65">
        <v>36.039000000000001</v>
      </c>
      <c r="AQ17" s="65">
        <v>36.618000000000002</v>
      </c>
      <c r="AR17" s="65">
        <v>38.170999999999999</v>
      </c>
      <c r="AS17" s="65">
        <v>39.665999999999997</v>
      </c>
      <c r="AT17" s="65">
        <v>40.948</v>
      </c>
      <c r="AU17" s="65">
        <v>41.689</v>
      </c>
      <c r="AV17" s="65">
        <v>41.698999999999998</v>
      </c>
      <c r="AW17" s="65">
        <v>42.921999999999997</v>
      </c>
      <c r="AX17" s="65">
        <v>44.436999999999998</v>
      </c>
      <c r="AY17" s="65">
        <v>46.362000000000002</v>
      </c>
      <c r="AZ17" s="65">
        <v>47.54</v>
      </c>
      <c r="BA17" s="65">
        <v>49.354999999999997</v>
      </c>
      <c r="BB17" s="65">
        <v>51.612000000000002</v>
      </c>
      <c r="BC17" s="65">
        <v>53.198</v>
      </c>
      <c r="BD17" s="65">
        <v>55.283000000000001</v>
      </c>
      <c r="BE17" s="65">
        <v>58.177999999999997</v>
      </c>
      <c r="BF17" s="65">
        <v>60.603000000000002</v>
      </c>
      <c r="BG17" s="65">
        <v>62.768999999999998</v>
      </c>
      <c r="BH17" s="65">
        <v>67.415999999999997</v>
      </c>
      <c r="BI17" s="65">
        <v>75.733000000000004</v>
      </c>
      <c r="BJ17" s="65">
        <v>84.748999999999995</v>
      </c>
      <c r="BK17" s="65">
        <v>89.748000000000005</v>
      </c>
      <c r="BL17" s="65">
        <v>94.334999999999994</v>
      </c>
      <c r="BM17" s="65">
        <v>92.613</v>
      </c>
      <c r="BN17" s="65">
        <v>92.006</v>
      </c>
      <c r="BO17" s="65">
        <v>95.361999999999995</v>
      </c>
      <c r="BP17" s="65">
        <v>100</v>
      </c>
      <c r="BQ17" s="65">
        <v>101.455</v>
      </c>
      <c r="BR17" s="65">
        <v>107.47499999999999</v>
      </c>
      <c r="BS17" s="65">
        <v>109.852</v>
      </c>
      <c r="BT17" s="65">
        <v>110.29600000000001</v>
      </c>
      <c r="BU17" s="65">
        <v>113.12</v>
      </c>
    </row>
    <row r="18" spans="1:73" x14ac:dyDescent="0.25">
      <c r="A18" s="65" t="s">
        <v>148</v>
      </c>
      <c r="B18" s="65" t="s">
        <v>149</v>
      </c>
      <c r="C18" s="65">
        <v>35.856999999999999</v>
      </c>
      <c r="D18" s="65">
        <v>38.442999999999998</v>
      </c>
      <c r="E18" s="65">
        <v>39.972000000000001</v>
      </c>
      <c r="F18" s="65">
        <v>40.978999999999999</v>
      </c>
      <c r="G18" s="65">
        <v>44.46</v>
      </c>
      <c r="H18" s="65">
        <v>45.356999999999999</v>
      </c>
      <c r="I18" s="65">
        <v>45.457999999999998</v>
      </c>
      <c r="J18" s="65">
        <v>46.542000000000002</v>
      </c>
      <c r="K18" s="65">
        <v>46.997999999999998</v>
      </c>
      <c r="L18" s="65">
        <v>50.493000000000002</v>
      </c>
      <c r="M18" s="65">
        <v>53.335999999999999</v>
      </c>
      <c r="N18" s="65">
        <v>54.375</v>
      </c>
      <c r="O18" s="65">
        <v>55.371000000000002</v>
      </c>
      <c r="P18" s="65">
        <v>55.838000000000001</v>
      </c>
      <c r="Q18" s="65">
        <v>55.534999999999997</v>
      </c>
      <c r="R18" s="65">
        <v>55.271999999999998</v>
      </c>
      <c r="S18" s="65">
        <v>54.984999999999999</v>
      </c>
      <c r="T18" s="65">
        <v>54.954999999999998</v>
      </c>
      <c r="U18" s="65">
        <v>55.026000000000003</v>
      </c>
      <c r="V18" s="65">
        <v>55.204000000000001</v>
      </c>
      <c r="W18" s="65">
        <v>56.466999999999999</v>
      </c>
      <c r="X18" s="65">
        <v>58.017000000000003</v>
      </c>
      <c r="Y18" s="65">
        <v>59.656999999999996</v>
      </c>
      <c r="Z18" s="65">
        <v>61.890999999999998</v>
      </c>
      <c r="AA18" s="65">
        <v>63.847999999999999</v>
      </c>
      <c r="AB18" s="65">
        <v>64.686000000000007</v>
      </c>
      <c r="AC18" s="65">
        <v>65.78</v>
      </c>
      <c r="AD18" s="65">
        <v>70.712999999999994</v>
      </c>
      <c r="AE18" s="65">
        <v>81.483999999999995</v>
      </c>
      <c r="AF18" s="65">
        <v>86.486000000000004</v>
      </c>
      <c r="AG18" s="65">
        <v>91.8</v>
      </c>
      <c r="AH18" s="65">
        <v>96.9</v>
      </c>
      <c r="AI18" s="65">
        <v>103.167</v>
      </c>
      <c r="AJ18" s="65">
        <v>112.25</v>
      </c>
      <c r="AK18" s="65">
        <v>120.46299999999999</v>
      </c>
      <c r="AL18" s="65">
        <v>125.41500000000001</v>
      </c>
      <c r="AM18" s="65">
        <v>125.776</v>
      </c>
      <c r="AN18" s="65">
        <v>124.748</v>
      </c>
      <c r="AO18" s="65">
        <v>124.748</v>
      </c>
      <c r="AP18" s="65">
        <v>127.254</v>
      </c>
      <c r="AQ18" s="65">
        <v>128.083</v>
      </c>
      <c r="AR18" s="65">
        <v>129.85400000000001</v>
      </c>
      <c r="AS18" s="65">
        <v>132.33699999999999</v>
      </c>
      <c r="AT18" s="65">
        <v>135.042</v>
      </c>
      <c r="AU18" s="65">
        <v>137.33000000000001</v>
      </c>
      <c r="AV18" s="65">
        <v>137.12100000000001</v>
      </c>
      <c r="AW18" s="65">
        <v>135.518</v>
      </c>
      <c r="AX18" s="65">
        <v>135.27699999999999</v>
      </c>
      <c r="AY18" s="65">
        <v>133.79599999999999</v>
      </c>
      <c r="AZ18" s="65">
        <v>130.762</v>
      </c>
      <c r="BA18" s="65">
        <v>127.15600000000001</v>
      </c>
      <c r="BB18" s="65">
        <v>121.45099999999999</v>
      </c>
      <c r="BC18" s="65">
        <v>116.76300000000001</v>
      </c>
      <c r="BD18" s="65">
        <v>114.224</v>
      </c>
      <c r="BE18" s="65">
        <v>110.858</v>
      </c>
      <c r="BF18" s="65">
        <v>108.53100000000001</v>
      </c>
      <c r="BG18" s="65">
        <v>105.72499999999999</v>
      </c>
      <c r="BH18" s="65">
        <v>104.84099999999999</v>
      </c>
      <c r="BI18" s="65">
        <v>104.598</v>
      </c>
      <c r="BJ18" s="65">
        <v>103.56</v>
      </c>
      <c r="BK18" s="65">
        <v>103.191</v>
      </c>
      <c r="BL18" s="65">
        <v>102.542</v>
      </c>
      <c r="BM18" s="65">
        <v>103.16800000000001</v>
      </c>
      <c r="BN18" s="65">
        <v>99.471000000000004</v>
      </c>
      <c r="BO18" s="65">
        <v>99.447000000000003</v>
      </c>
      <c r="BP18" s="65">
        <v>100</v>
      </c>
      <c r="BQ18" s="65">
        <v>99.787000000000006</v>
      </c>
      <c r="BR18" s="65">
        <v>99.281999999999996</v>
      </c>
      <c r="BS18" s="65">
        <v>98.742999999999995</v>
      </c>
      <c r="BT18" s="65">
        <v>97.738</v>
      </c>
      <c r="BU18" s="65">
        <v>97.183000000000007</v>
      </c>
    </row>
    <row r="19" spans="1:73" x14ac:dyDescent="0.25">
      <c r="A19" s="65" t="s">
        <v>150</v>
      </c>
      <c r="B19" s="65" t="s">
        <v>151</v>
      </c>
      <c r="C19" s="65">
        <v>22.754999999999999</v>
      </c>
      <c r="D19" s="65">
        <v>23.934999999999999</v>
      </c>
      <c r="E19" s="65">
        <v>23.984000000000002</v>
      </c>
      <c r="F19" s="65">
        <v>24.545000000000002</v>
      </c>
      <c r="G19" s="65">
        <v>26.053999999999998</v>
      </c>
      <c r="H19" s="65">
        <v>26.384</v>
      </c>
      <c r="I19" s="65">
        <v>26.844000000000001</v>
      </c>
      <c r="J19" s="65">
        <v>27.036000000000001</v>
      </c>
      <c r="K19" s="65">
        <v>27.678999999999998</v>
      </c>
      <c r="L19" s="65">
        <v>28.731000000000002</v>
      </c>
      <c r="M19" s="65">
        <v>29.643999999999998</v>
      </c>
      <c r="N19" s="65">
        <v>30.361999999999998</v>
      </c>
      <c r="O19" s="65">
        <v>30.922000000000001</v>
      </c>
      <c r="P19" s="65">
        <v>31.393000000000001</v>
      </c>
      <c r="Q19" s="65">
        <v>31.596</v>
      </c>
      <c r="R19" s="65">
        <v>31.751000000000001</v>
      </c>
      <c r="S19" s="65">
        <v>31.791</v>
      </c>
      <c r="T19" s="65">
        <v>32.281999999999996</v>
      </c>
      <c r="U19" s="65">
        <v>32.509</v>
      </c>
      <c r="V19" s="65">
        <v>33.002000000000002</v>
      </c>
      <c r="W19" s="65">
        <v>33.505000000000003</v>
      </c>
      <c r="X19" s="65">
        <v>34.676000000000002</v>
      </c>
      <c r="Y19" s="65">
        <v>36.204000000000001</v>
      </c>
      <c r="Z19" s="65">
        <v>37.929000000000002</v>
      </c>
      <c r="AA19" s="65">
        <v>39.317999999999998</v>
      </c>
      <c r="AB19" s="65">
        <v>40.49</v>
      </c>
      <c r="AC19" s="65">
        <v>42.494</v>
      </c>
      <c r="AD19" s="65">
        <v>46.460999999999999</v>
      </c>
      <c r="AE19" s="65">
        <v>50.19</v>
      </c>
      <c r="AF19" s="65">
        <v>52.408000000000001</v>
      </c>
      <c r="AG19" s="65">
        <v>54.709000000000003</v>
      </c>
      <c r="AH19" s="65">
        <v>57.557000000000002</v>
      </c>
      <c r="AI19" s="65">
        <v>61.381999999999998</v>
      </c>
      <c r="AJ19" s="65">
        <v>66.123000000000005</v>
      </c>
      <c r="AK19" s="65">
        <v>71.058000000000007</v>
      </c>
      <c r="AL19" s="65">
        <v>75.093000000000004</v>
      </c>
      <c r="AM19" s="65">
        <v>77.897999999999996</v>
      </c>
      <c r="AN19" s="65">
        <v>80.081000000000003</v>
      </c>
      <c r="AO19" s="65">
        <v>81.412999999999997</v>
      </c>
      <c r="AP19" s="65">
        <v>82.046999999999997</v>
      </c>
      <c r="AQ19" s="65">
        <v>83.518000000000001</v>
      </c>
      <c r="AR19" s="65">
        <v>86.129000000000005</v>
      </c>
      <c r="AS19" s="65">
        <v>87.24</v>
      </c>
      <c r="AT19" s="65">
        <v>88.147000000000006</v>
      </c>
      <c r="AU19" s="65">
        <v>90.271000000000001</v>
      </c>
      <c r="AV19" s="65">
        <v>89.373000000000005</v>
      </c>
      <c r="AW19" s="65">
        <v>89.998000000000005</v>
      </c>
      <c r="AX19" s="65">
        <v>90.468000000000004</v>
      </c>
      <c r="AY19" s="65">
        <v>93.134</v>
      </c>
      <c r="AZ19" s="65">
        <v>93.543999999999997</v>
      </c>
      <c r="BA19" s="65">
        <v>94.052000000000007</v>
      </c>
      <c r="BB19" s="65">
        <v>93.594999999999999</v>
      </c>
      <c r="BC19" s="65">
        <v>95.105000000000004</v>
      </c>
      <c r="BD19" s="65">
        <v>97.813999999999993</v>
      </c>
      <c r="BE19" s="65">
        <v>97.683999999999997</v>
      </c>
      <c r="BF19" s="65">
        <v>96.376000000000005</v>
      </c>
      <c r="BG19" s="65">
        <v>95.647000000000006</v>
      </c>
      <c r="BH19" s="65">
        <v>95.334999999999994</v>
      </c>
      <c r="BI19" s="65">
        <v>95.951999999999998</v>
      </c>
      <c r="BJ19" s="65">
        <v>97.087999999999994</v>
      </c>
      <c r="BK19" s="65">
        <v>98.284000000000006</v>
      </c>
      <c r="BL19" s="65">
        <v>99.834000000000003</v>
      </c>
      <c r="BM19" s="65">
        <v>98.588999999999999</v>
      </c>
      <c r="BN19" s="65">
        <v>98.305999999999997</v>
      </c>
      <c r="BO19" s="65">
        <v>99.516999999999996</v>
      </c>
      <c r="BP19" s="65">
        <v>100</v>
      </c>
      <c r="BQ19" s="65">
        <v>100.081</v>
      </c>
      <c r="BR19" s="65">
        <v>100.73399999999999</v>
      </c>
      <c r="BS19" s="65">
        <v>101.51600000000001</v>
      </c>
      <c r="BT19" s="65">
        <v>100.208</v>
      </c>
      <c r="BU19" s="65">
        <v>101.294</v>
      </c>
    </row>
    <row r="20" spans="1:73" x14ac:dyDescent="0.25">
      <c r="A20" s="65" t="s">
        <v>152</v>
      </c>
      <c r="B20" s="65" t="s">
        <v>153</v>
      </c>
      <c r="C20" s="65">
        <v>9.4019999999999992</v>
      </c>
      <c r="D20" s="65">
        <v>10.192</v>
      </c>
      <c r="E20" s="65">
        <v>10.327</v>
      </c>
      <c r="F20" s="65">
        <v>10.582000000000001</v>
      </c>
      <c r="G20" s="65">
        <v>11.34</v>
      </c>
      <c r="H20" s="65">
        <v>11.651999999999999</v>
      </c>
      <c r="I20" s="65">
        <v>11.736000000000001</v>
      </c>
      <c r="J20" s="65">
        <v>11.782999999999999</v>
      </c>
      <c r="K20" s="65">
        <v>12.028</v>
      </c>
      <c r="L20" s="65">
        <v>12.335000000000001</v>
      </c>
      <c r="M20" s="65">
        <v>12.368</v>
      </c>
      <c r="N20" s="65">
        <v>12.337999999999999</v>
      </c>
      <c r="O20" s="65">
        <v>12.374000000000001</v>
      </c>
      <c r="P20" s="65">
        <v>12.458</v>
      </c>
      <c r="Q20" s="65">
        <v>12.477</v>
      </c>
      <c r="R20" s="65">
        <v>12.497</v>
      </c>
      <c r="S20" s="65">
        <v>12.398999999999999</v>
      </c>
      <c r="T20" s="65">
        <v>12.496</v>
      </c>
      <c r="U20" s="65">
        <v>12.846</v>
      </c>
      <c r="V20" s="65">
        <v>13.311999999999999</v>
      </c>
      <c r="W20" s="65">
        <v>13.77</v>
      </c>
      <c r="X20" s="65">
        <v>14.497999999999999</v>
      </c>
      <c r="Y20" s="65">
        <v>15.518000000000001</v>
      </c>
      <c r="Z20" s="65">
        <v>16.015999999999998</v>
      </c>
      <c r="AA20" s="65">
        <v>16.943000000000001</v>
      </c>
      <c r="AB20" s="65">
        <v>17.975000000000001</v>
      </c>
      <c r="AC20" s="65">
        <v>19.571000000000002</v>
      </c>
      <c r="AD20" s="65">
        <v>21.593</v>
      </c>
      <c r="AE20" s="65">
        <v>23.59</v>
      </c>
      <c r="AF20" s="65">
        <v>25.117000000000001</v>
      </c>
      <c r="AG20" s="65">
        <v>27.683</v>
      </c>
      <c r="AH20" s="65">
        <v>31.082000000000001</v>
      </c>
      <c r="AI20" s="65">
        <v>34.593000000000004</v>
      </c>
      <c r="AJ20" s="65">
        <v>38.323999999999998</v>
      </c>
      <c r="AK20" s="65">
        <v>41.424999999999997</v>
      </c>
      <c r="AL20" s="65">
        <v>43.646000000000001</v>
      </c>
      <c r="AM20" s="65">
        <v>44.68</v>
      </c>
      <c r="AN20" s="65">
        <v>46.003</v>
      </c>
      <c r="AO20" s="65">
        <v>47.267000000000003</v>
      </c>
      <c r="AP20" s="65">
        <v>49.350999999999999</v>
      </c>
      <c r="AQ20" s="65">
        <v>51.485999999999997</v>
      </c>
      <c r="AR20" s="65">
        <v>53.279000000000003</v>
      </c>
      <c r="AS20" s="65">
        <v>55.02</v>
      </c>
      <c r="AT20" s="65">
        <v>56.287999999999997</v>
      </c>
      <c r="AU20" s="65">
        <v>57.021000000000001</v>
      </c>
      <c r="AV20" s="65">
        <v>57.722999999999999</v>
      </c>
      <c r="AW20" s="65">
        <v>60.073999999999998</v>
      </c>
      <c r="AX20" s="65">
        <v>62.247</v>
      </c>
      <c r="AY20" s="65">
        <v>64.472999999999999</v>
      </c>
      <c r="AZ20" s="65">
        <v>65.855999999999995</v>
      </c>
      <c r="BA20" s="65">
        <v>67.444000000000003</v>
      </c>
      <c r="BB20" s="65">
        <v>69.222999999999999</v>
      </c>
      <c r="BC20" s="65">
        <v>71.816000000000003</v>
      </c>
      <c r="BD20" s="65">
        <v>75.004000000000005</v>
      </c>
      <c r="BE20" s="65">
        <v>78.563999999999993</v>
      </c>
      <c r="BF20" s="65">
        <v>80.510000000000005</v>
      </c>
      <c r="BG20" s="65">
        <v>84.325000000000003</v>
      </c>
      <c r="BH20" s="65">
        <v>90.242999999999995</v>
      </c>
      <c r="BI20" s="65">
        <v>96.706000000000003</v>
      </c>
      <c r="BJ20" s="65">
        <v>102.355</v>
      </c>
      <c r="BK20" s="65">
        <v>103.708</v>
      </c>
      <c r="BL20" s="65">
        <v>102.249</v>
      </c>
      <c r="BM20" s="65">
        <v>98.671000000000006</v>
      </c>
      <c r="BN20" s="65">
        <v>98.316999999999993</v>
      </c>
      <c r="BO20" s="65">
        <v>99.049000000000007</v>
      </c>
      <c r="BP20" s="65">
        <v>100</v>
      </c>
      <c r="BQ20" s="65">
        <v>105.054</v>
      </c>
      <c r="BR20" s="65">
        <v>111.10599999999999</v>
      </c>
      <c r="BS20" s="65">
        <v>114.1</v>
      </c>
      <c r="BT20" s="65">
        <v>118.185</v>
      </c>
      <c r="BU20" s="65">
        <v>123.495</v>
      </c>
    </row>
    <row r="21" spans="1:73" x14ac:dyDescent="0.25">
      <c r="A21" s="65" t="s">
        <v>154</v>
      </c>
      <c r="B21" s="65" t="s">
        <v>155</v>
      </c>
      <c r="C21" s="65" t="s">
        <v>156</v>
      </c>
      <c r="D21" s="65" t="s">
        <v>156</v>
      </c>
      <c r="E21" s="65" t="s">
        <v>156</v>
      </c>
      <c r="F21" s="65" t="s">
        <v>156</v>
      </c>
      <c r="G21" s="65" t="s">
        <v>156</v>
      </c>
      <c r="H21" s="65" t="s">
        <v>156</v>
      </c>
      <c r="I21" s="65" t="s">
        <v>156</v>
      </c>
      <c r="J21" s="65" t="s">
        <v>156</v>
      </c>
      <c r="K21" s="65" t="s">
        <v>156</v>
      </c>
      <c r="L21" s="65" t="s">
        <v>156</v>
      </c>
      <c r="M21" s="65" t="s">
        <v>156</v>
      </c>
      <c r="N21" s="65" t="s">
        <v>156</v>
      </c>
      <c r="O21" s="65" t="s">
        <v>156</v>
      </c>
      <c r="P21" s="65" t="s">
        <v>156</v>
      </c>
      <c r="Q21" s="65" t="s">
        <v>156</v>
      </c>
      <c r="R21" s="65" t="s">
        <v>156</v>
      </c>
      <c r="S21" s="65" t="s">
        <v>156</v>
      </c>
      <c r="T21" s="65" t="s">
        <v>156</v>
      </c>
      <c r="U21" s="65" t="s">
        <v>156</v>
      </c>
      <c r="V21" s="65" t="s">
        <v>156</v>
      </c>
      <c r="W21" s="65" t="s">
        <v>156</v>
      </c>
      <c r="X21" s="65" t="s">
        <v>156</v>
      </c>
      <c r="Y21" s="65" t="s">
        <v>156</v>
      </c>
      <c r="Z21" s="65" t="s">
        <v>156</v>
      </c>
      <c r="AA21" s="65" t="s">
        <v>156</v>
      </c>
      <c r="AB21" s="65" t="s">
        <v>156</v>
      </c>
      <c r="AC21" s="65" t="s">
        <v>156</v>
      </c>
      <c r="AD21" s="65" t="s">
        <v>156</v>
      </c>
      <c r="AE21" s="65" t="s">
        <v>156</v>
      </c>
      <c r="AF21" s="65" t="s">
        <v>156</v>
      </c>
      <c r="AG21" s="65" t="s">
        <v>156</v>
      </c>
      <c r="AH21" s="65" t="s">
        <v>156</v>
      </c>
      <c r="AI21" s="65" t="s">
        <v>156</v>
      </c>
      <c r="AJ21" s="65" t="s">
        <v>156</v>
      </c>
      <c r="AK21" s="65" t="s">
        <v>156</v>
      </c>
      <c r="AL21" s="65" t="s">
        <v>156</v>
      </c>
      <c r="AM21" s="65" t="s">
        <v>156</v>
      </c>
      <c r="AN21" s="65" t="s">
        <v>156</v>
      </c>
      <c r="AO21" s="65" t="s">
        <v>156</v>
      </c>
      <c r="AP21" s="65" t="s">
        <v>156</v>
      </c>
      <c r="AQ21" s="65" t="s">
        <v>156</v>
      </c>
      <c r="AR21" s="65" t="s">
        <v>156</v>
      </c>
      <c r="AS21" s="65" t="s">
        <v>156</v>
      </c>
      <c r="AT21" s="65" t="s">
        <v>156</v>
      </c>
      <c r="AU21" s="65" t="s">
        <v>156</v>
      </c>
      <c r="AV21" s="65" t="s">
        <v>156</v>
      </c>
      <c r="AW21" s="65" t="s">
        <v>156</v>
      </c>
      <c r="AX21" s="65" t="s">
        <v>156</v>
      </c>
      <c r="AY21" s="65" t="s">
        <v>156</v>
      </c>
      <c r="AZ21" s="65" t="s">
        <v>156</v>
      </c>
      <c r="BA21" s="65" t="s">
        <v>156</v>
      </c>
      <c r="BB21" s="65" t="s">
        <v>156</v>
      </c>
      <c r="BC21" s="65" t="s">
        <v>156</v>
      </c>
      <c r="BD21" s="65" t="s">
        <v>156</v>
      </c>
      <c r="BE21" s="65" t="s">
        <v>156</v>
      </c>
      <c r="BF21" s="65" t="s">
        <v>156</v>
      </c>
      <c r="BG21" s="65" t="s">
        <v>156</v>
      </c>
      <c r="BH21" s="65" t="s">
        <v>156</v>
      </c>
      <c r="BI21" s="65" t="s">
        <v>156</v>
      </c>
      <c r="BJ21" s="65" t="s">
        <v>156</v>
      </c>
      <c r="BK21" s="65" t="s">
        <v>156</v>
      </c>
      <c r="BL21" s="65" t="s">
        <v>156</v>
      </c>
      <c r="BM21" s="65" t="s">
        <v>156</v>
      </c>
      <c r="BN21" s="65" t="s">
        <v>156</v>
      </c>
      <c r="BO21" s="65" t="s">
        <v>156</v>
      </c>
      <c r="BP21" s="65" t="s">
        <v>156</v>
      </c>
      <c r="BQ21" s="65" t="s">
        <v>156</v>
      </c>
      <c r="BR21" s="65" t="s">
        <v>156</v>
      </c>
      <c r="BS21" s="65" t="s">
        <v>156</v>
      </c>
      <c r="BT21" s="65" t="s">
        <v>156</v>
      </c>
      <c r="BU21" s="65" t="s">
        <v>156</v>
      </c>
    </row>
    <row r="22" spans="1:73" ht="13" x14ac:dyDescent="0.3">
      <c r="A22" s="65" t="s">
        <v>157</v>
      </c>
      <c r="B22" s="7" t="s">
        <v>158</v>
      </c>
      <c r="C22" s="65" t="s">
        <v>156</v>
      </c>
      <c r="D22" s="65" t="s">
        <v>156</v>
      </c>
      <c r="E22" s="65" t="s">
        <v>156</v>
      </c>
      <c r="F22" s="65" t="s">
        <v>156</v>
      </c>
      <c r="G22" s="65" t="s">
        <v>156</v>
      </c>
      <c r="H22" s="65" t="s">
        <v>156</v>
      </c>
      <c r="I22" s="65" t="s">
        <v>156</v>
      </c>
      <c r="J22" s="65" t="s">
        <v>156</v>
      </c>
      <c r="K22" s="65" t="s">
        <v>156</v>
      </c>
      <c r="L22" s="65" t="s">
        <v>156</v>
      </c>
      <c r="M22" s="65" t="s">
        <v>156</v>
      </c>
      <c r="N22" s="65" t="s">
        <v>156</v>
      </c>
      <c r="O22" s="65" t="s">
        <v>156</v>
      </c>
      <c r="P22" s="65" t="s">
        <v>156</v>
      </c>
      <c r="Q22" s="65" t="s">
        <v>156</v>
      </c>
      <c r="R22" s="65" t="s">
        <v>156</v>
      </c>
      <c r="S22" s="65" t="s">
        <v>156</v>
      </c>
      <c r="T22" s="65" t="s">
        <v>156</v>
      </c>
      <c r="U22" s="65" t="s">
        <v>156</v>
      </c>
      <c r="V22" s="65" t="s">
        <v>156</v>
      </c>
      <c r="W22" s="65" t="s">
        <v>156</v>
      </c>
      <c r="X22" s="65" t="s">
        <v>156</v>
      </c>
      <c r="Y22" s="65" t="s">
        <v>156</v>
      </c>
      <c r="Z22" s="65" t="s">
        <v>156</v>
      </c>
      <c r="AA22" s="65" t="s">
        <v>156</v>
      </c>
      <c r="AB22" s="65" t="s">
        <v>156</v>
      </c>
      <c r="AC22" s="65" t="s">
        <v>156</v>
      </c>
      <c r="AD22" s="65" t="s">
        <v>156</v>
      </c>
      <c r="AE22" s="65" t="s">
        <v>156</v>
      </c>
      <c r="AF22" s="65" t="s">
        <v>156</v>
      </c>
      <c r="AG22" s="65" t="s">
        <v>156</v>
      </c>
      <c r="AH22" s="65" t="s">
        <v>156</v>
      </c>
      <c r="AI22" s="65" t="s">
        <v>156</v>
      </c>
      <c r="AJ22" s="65" t="s">
        <v>156</v>
      </c>
      <c r="AK22" s="65" t="s">
        <v>156</v>
      </c>
      <c r="AL22" s="65" t="s">
        <v>156</v>
      </c>
      <c r="AM22" s="65" t="s">
        <v>156</v>
      </c>
      <c r="AN22" s="65" t="s">
        <v>156</v>
      </c>
      <c r="AO22" s="65" t="s">
        <v>156</v>
      </c>
      <c r="AP22" s="65" t="s">
        <v>156</v>
      </c>
      <c r="AQ22" s="65" t="s">
        <v>156</v>
      </c>
      <c r="AR22" s="65" t="s">
        <v>156</v>
      </c>
      <c r="AS22" s="65" t="s">
        <v>156</v>
      </c>
      <c r="AT22" s="65" t="s">
        <v>156</v>
      </c>
      <c r="AU22" s="65" t="s">
        <v>156</v>
      </c>
      <c r="AV22" s="65" t="s">
        <v>156</v>
      </c>
      <c r="AW22" s="65" t="s">
        <v>156</v>
      </c>
      <c r="AX22" s="65" t="s">
        <v>156</v>
      </c>
      <c r="AY22" s="65" t="s">
        <v>156</v>
      </c>
      <c r="AZ22" s="65" t="s">
        <v>156</v>
      </c>
      <c r="BA22" s="65" t="s">
        <v>156</v>
      </c>
      <c r="BB22" s="65" t="s">
        <v>156</v>
      </c>
      <c r="BC22" s="65" t="s">
        <v>156</v>
      </c>
      <c r="BD22" s="65" t="s">
        <v>156</v>
      </c>
      <c r="BE22" s="65" t="s">
        <v>156</v>
      </c>
      <c r="BF22" s="65" t="s">
        <v>156</v>
      </c>
      <c r="BG22" s="65" t="s">
        <v>156</v>
      </c>
      <c r="BH22" s="65" t="s">
        <v>156</v>
      </c>
      <c r="BI22" s="65" t="s">
        <v>156</v>
      </c>
      <c r="BJ22" s="65" t="s">
        <v>156</v>
      </c>
      <c r="BK22" s="65" t="s">
        <v>156</v>
      </c>
      <c r="BL22" s="65" t="s">
        <v>156</v>
      </c>
      <c r="BM22" s="65" t="s">
        <v>156</v>
      </c>
      <c r="BN22" s="65" t="s">
        <v>156</v>
      </c>
      <c r="BO22" s="65" t="s">
        <v>156</v>
      </c>
      <c r="BP22" s="65" t="s">
        <v>156</v>
      </c>
      <c r="BQ22" s="65" t="s">
        <v>156</v>
      </c>
      <c r="BR22" s="65" t="s">
        <v>156</v>
      </c>
      <c r="BS22" s="65" t="s">
        <v>156</v>
      </c>
      <c r="BT22" s="65" t="s">
        <v>156</v>
      </c>
      <c r="BU22" s="65" t="s">
        <v>156</v>
      </c>
    </row>
    <row r="23" spans="1:73" x14ac:dyDescent="0.25">
      <c r="A23" s="65" t="s">
        <v>159</v>
      </c>
      <c r="B23" s="65" t="s">
        <v>160</v>
      </c>
      <c r="C23" s="65">
        <v>20.416</v>
      </c>
      <c r="D23" s="65">
        <v>21.504999999999999</v>
      </c>
      <c r="E23" s="65">
        <v>20.222000000000001</v>
      </c>
      <c r="F23" s="65">
        <v>19.690999999999999</v>
      </c>
      <c r="G23" s="65">
        <v>22.248000000000001</v>
      </c>
      <c r="H23" s="65">
        <v>22.384</v>
      </c>
      <c r="I23" s="65">
        <v>22.321000000000002</v>
      </c>
      <c r="J23" s="65">
        <v>22.016999999999999</v>
      </c>
      <c r="K23" s="65">
        <v>22.206</v>
      </c>
      <c r="L23" s="65">
        <v>22.948</v>
      </c>
      <c r="M23" s="65">
        <v>23.818999999999999</v>
      </c>
      <c r="N23" s="65">
        <v>23.577999999999999</v>
      </c>
      <c r="O23" s="65">
        <v>23.63</v>
      </c>
      <c r="P23" s="65">
        <v>23.962</v>
      </c>
      <c r="Q23" s="65">
        <v>24.324999999999999</v>
      </c>
      <c r="R23" s="65">
        <v>24.384</v>
      </c>
      <c r="S23" s="65">
        <v>24.335999999999999</v>
      </c>
      <c r="T23" s="65">
        <v>24.530999999999999</v>
      </c>
      <c r="U23" s="65">
        <v>25.312000000000001</v>
      </c>
      <c r="V23" s="65">
        <v>26.079000000000001</v>
      </c>
      <c r="W23" s="65">
        <v>27.084</v>
      </c>
      <c r="X23" s="65">
        <v>27.664000000000001</v>
      </c>
      <c r="Y23" s="65">
        <v>28.588999999999999</v>
      </c>
      <c r="Z23" s="65">
        <v>29.710999999999999</v>
      </c>
      <c r="AA23" s="65">
        <v>30.795999999999999</v>
      </c>
      <c r="AB23" s="65">
        <v>32.145000000000003</v>
      </c>
      <c r="AC23" s="65">
        <v>36.381999999999998</v>
      </c>
      <c r="AD23" s="65">
        <v>44.807000000000002</v>
      </c>
      <c r="AE23" s="65">
        <v>49.387999999999998</v>
      </c>
      <c r="AF23" s="65">
        <v>51.009</v>
      </c>
      <c r="AG23" s="65">
        <v>53.088000000000001</v>
      </c>
      <c r="AH23" s="65">
        <v>56.317</v>
      </c>
      <c r="AI23" s="65">
        <v>63.100999999999999</v>
      </c>
      <c r="AJ23" s="65">
        <v>69.503</v>
      </c>
      <c r="AK23" s="65">
        <v>74.650000000000006</v>
      </c>
      <c r="AL23" s="65">
        <v>75.006</v>
      </c>
      <c r="AM23" s="65">
        <v>75.311000000000007</v>
      </c>
      <c r="AN23" s="65">
        <v>76.016000000000005</v>
      </c>
      <c r="AO23" s="65">
        <v>73.753</v>
      </c>
      <c r="AP23" s="65">
        <v>72.522999999999996</v>
      </c>
      <c r="AQ23" s="65">
        <v>74.123999999999995</v>
      </c>
      <c r="AR23" s="65">
        <v>77.92</v>
      </c>
      <c r="AS23" s="65">
        <v>79.209999999999994</v>
      </c>
      <c r="AT23" s="65">
        <v>79.656999999999996</v>
      </c>
      <c r="AU23" s="65">
        <v>80.545000000000002</v>
      </c>
      <c r="AV23" s="65">
        <v>80.153000000000006</v>
      </c>
      <c r="AW23" s="65">
        <v>80.277000000000001</v>
      </c>
      <c r="AX23" s="65">
        <v>81.209999999999994</v>
      </c>
      <c r="AY23" s="65">
        <v>83.025000000000006</v>
      </c>
      <c r="AZ23" s="65">
        <v>81.923000000000002</v>
      </c>
      <c r="BA23" s="65">
        <v>80.478999999999999</v>
      </c>
      <c r="BB23" s="65">
        <v>78.573999999999998</v>
      </c>
      <c r="BC23" s="65">
        <v>77.971000000000004</v>
      </c>
      <c r="BD23" s="65">
        <v>79.466999999999999</v>
      </c>
      <c r="BE23" s="65">
        <v>78.834999999999994</v>
      </c>
      <c r="BF23" s="65">
        <v>78.200999999999993</v>
      </c>
      <c r="BG23" s="65">
        <v>79.400000000000006</v>
      </c>
      <c r="BH23" s="65">
        <v>82.284000000000006</v>
      </c>
      <c r="BI23" s="65">
        <v>85.131</v>
      </c>
      <c r="BJ23" s="65">
        <v>87.841999999999999</v>
      </c>
      <c r="BK23" s="65">
        <v>91.138999999999996</v>
      </c>
      <c r="BL23" s="65">
        <v>95.41</v>
      </c>
      <c r="BM23" s="65">
        <v>89.694000000000003</v>
      </c>
      <c r="BN23" s="65">
        <v>93.347999999999999</v>
      </c>
      <c r="BO23" s="65">
        <v>99.242000000000004</v>
      </c>
      <c r="BP23" s="65">
        <v>100</v>
      </c>
      <c r="BQ23" s="65">
        <v>100.16800000000001</v>
      </c>
      <c r="BR23" s="65">
        <v>100.169</v>
      </c>
      <c r="BS23" s="65">
        <v>95.146000000000001</v>
      </c>
      <c r="BT23" s="65">
        <v>93.248000000000005</v>
      </c>
      <c r="BU23" s="65">
        <v>95.923000000000002</v>
      </c>
    </row>
    <row r="24" spans="1:73" x14ac:dyDescent="0.25">
      <c r="A24" s="65" t="s">
        <v>161</v>
      </c>
      <c r="B24" s="65" t="s">
        <v>162</v>
      </c>
      <c r="C24" s="65">
        <v>23.684000000000001</v>
      </c>
      <c r="D24" s="65">
        <v>25.21</v>
      </c>
      <c r="E24" s="65">
        <v>23.356000000000002</v>
      </c>
      <c r="F24" s="65">
        <v>22.579000000000001</v>
      </c>
      <c r="G24" s="65">
        <v>25.885999999999999</v>
      </c>
      <c r="H24" s="65">
        <v>25.771999999999998</v>
      </c>
      <c r="I24" s="65">
        <v>25.510999999999999</v>
      </c>
      <c r="J24" s="65">
        <v>25.148</v>
      </c>
      <c r="K24" s="65">
        <v>25.385000000000002</v>
      </c>
      <c r="L24" s="65">
        <v>26.347999999999999</v>
      </c>
      <c r="M24" s="65">
        <v>27.206</v>
      </c>
      <c r="N24" s="65">
        <v>26.908999999999999</v>
      </c>
      <c r="O24" s="65">
        <v>27.17</v>
      </c>
      <c r="P24" s="65">
        <v>27.352</v>
      </c>
      <c r="Q24" s="65">
        <v>27.872</v>
      </c>
      <c r="R24" s="65">
        <v>27.655000000000001</v>
      </c>
      <c r="S24" s="65">
        <v>27.565999999999999</v>
      </c>
      <c r="T24" s="65">
        <v>27.751999999999999</v>
      </c>
      <c r="U24" s="65">
        <v>28.718</v>
      </c>
      <c r="V24" s="65">
        <v>29.699000000000002</v>
      </c>
      <c r="W24" s="65">
        <v>30.943999999999999</v>
      </c>
      <c r="X24" s="65">
        <v>31.42</v>
      </c>
      <c r="Y24" s="65">
        <v>32.393999999999998</v>
      </c>
      <c r="Z24" s="65">
        <v>33.86</v>
      </c>
      <c r="AA24" s="65">
        <v>34.765999999999998</v>
      </c>
      <c r="AB24" s="65">
        <v>35.69</v>
      </c>
      <c r="AC24" s="65">
        <v>41.316000000000003</v>
      </c>
      <c r="AD24" s="65">
        <v>51.982999999999997</v>
      </c>
      <c r="AE24" s="65">
        <v>57.701000000000001</v>
      </c>
      <c r="AF24" s="65">
        <v>59.265000000000001</v>
      </c>
      <c r="AG24" s="65">
        <v>61.468000000000004</v>
      </c>
      <c r="AH24" s="65">
        <v>64.998999999999995</v>
      </c>
      <c r="AI24" s="65">
        <v>73.430999999999997</v>
      </c>
      <c r="AJ24" s="65">
        <v>80.463999999999999</v>
      </c>
      <c r="AK24" s="65">
        <v>86.18</v>
      </c>
      <c r="AL24" s="65">
        <v>85.471999999999994</v>
      </c>
      <c r="AM24" s="65">
        <v>84.974999999999994</v>
      </c>
      <c r="AN24" s="65">
        <v>85.741</v>
      </c>
      <c r="AO24" s="65">
        <v>81.463999999999999</v>
      </c>
      <c r="AP24" s="65">
        <v>78.668000000000006</v>
      </c>
      <c r="AQ24" s="65">
        <v>80.426000000000002</v>
      </c>
      <c r="AR24" s="65">
        <v>85.384</v>
      </c>
      <c r="AS24" s="65">
        <v>86.475999999999999</v>
      </c>
      <c r="AT24" s="65">
        <v>85.712999999999994</v>
      </c>
      <c r="AU24" s="65">
        <v>85.674000000000007</v>
      </c>
      <c r="AV24" s="65">
        <v>84.337999999999994</v>
      </c>
      <c r="AW24" s="65">
        <v>83.914000000000001</v>
      </c>
      <c r="AX24" s="65">
        <v>84.873000000000005</v>
      </c>
      <c r="AY24" s="65">
        <v>86.887</v>
      </c>
      <c r="AZ24" s="65">
        <v>84.683999999999997</v>
      </c>
      <c r="BA24" s="65">
        <v>82.335999999999999</v>
      </c>
      <c r="BB24" s="65">
        <v>79.739999999999995</v>
      </c>
      <c r="BC24" s="65">
        <v>78.661000000000001</v>
      </c>
      <c r="BD24" s="65">
        <v>80.024000000000001</v>
      </c>
      <c r="BE24" s="65">
        <v>79.557000000000002</v>
      </c>
      <c r="BF24" s="65">
        <v>78.728999999999999</v>
      </c>
      <c r="BG24" s="65">
        <v>79.506</v>
      </c>
      <c r="BH24" s="65">
        <v>82.314999999999998</v>
      </c>
      <c r="BI24" s="65">
        <v>84.933999999999997</v>
      </c>
      <c r="BJ24" s="65">
        <v>87.585999999999999</v>
      </c>
      <c r="BK24" s="65">
        <v>91.001999999999995</v>
      </c>
      <c r="BL24" s="65">
        <v>95.712999999999994</v>
      </c>
      <c r="BM24" s="65">
        <v>88.921000000000006</v>
      </c>
      <c r="BN24" s="65">
        <v>92.966999999999999</v>
      </c>
      <c r="BO24" s="65">
        <v>99.793000000000006</v>
      </c>
      <c r="BP24" s="65">
        <v>100</v>
      </c>
      <c r="BQ24" s="65">
        <v>99.311999999999998</v>
      </c>
      <c r="BR24" s="65">
        <v>98.322999999999993</v>
      </c>
      <c r="BS24" s="65">
        <v>91.275999999999996</v>
      </c>
      <c r="BT24" s="65">
        <v>87.822000000000003</v>
      </c>
      <c r="BU24" s="65">
        <v>90.49</v>
      </c>
    </row>
    <row r="25" spans="1:73" x14ac:dyDescent="0.25">
      <c r="A25" s="65" t="s">
        <v>163</v>
      </c>
      <c r="B25" s="65" t="s">
        <v>164</v>
      </c>
      <c r="C25" s="65">
        <v>13.404</v>
      </c>
      <c r="D25" s="65">
        <v>13.259</v>
      </c>
      <c r="E25" s="65">
        <v>13.551</v>
      </c>
      <c r="F25" s="65">
        <v>13.685</v>
      </c>
      <c r="G25" s="65">
        <v>14.404</v>
      </c>
      <c r="H25" s="65">
        <v>15.227</v>
      </c>
      <c r="I25" s="65">
        <v>15.680999999999999</v>
      </c>
      <c r="J25" s="65">
        <v>15.512</v>
      </c>
      <c r="K25" s="65">
        <v>15.583</v>
      </c>
      <c r="L25" s="65">
        <v>15.787000000000001</v>
      </c>
      <c r="M25" s="65">
        <v>16.777999999999999</v>
      </c>
      <c r="N25" s="65">
        <v>16.664000000000001</v>
      </c>
      <c r="O25" s="65">
        <v>16.286999999999999</v>
      </c>
      <c r="P25" s="65">
        <v>16.856999999999999</v>
      </c>
      <c r="Q25" s="65">
        <v>16.91</v>
      </c>
      <c r="R25" s="65">
        <v>17.489000000000001</v>
      </c>
      <c r="S25" s="65">
        <v>17.521000000000001</v>
      </c>
      <c r="T25" s="65">
        <v>17.727</v>
      </c>
      <c r="U25" s="65">
        <v>18.128</v>
      </c>
      <c r="V25" s="65">
        <v>18.463000000000001</v>
      </c>
      <c r="W25" s="65">
        <v>18.986999999999998</v>
      </c>
      <c r="X25" s="65">
        <v>19.734000000000002</v>
      </c>
      <c r="Y25" s="65">
        <v>20.536000000000001</v>
      </c>
      <c r="Z25" s="65">
        <v>20.975000000000001</v>
      </c>
      <c r="AA25" s="65">
        <v>22.347999999999999</v>
      </c>
      <c r="AB25" s="65">
        <v>24.431999999999999</v>
      </c>
      <c r="AC25" s="65">
        <v>25.645</v>
      </c>
      <c r="AD25" s="65">
        <v>28.882999999999999</v>
      </c>
      <c r="AE25" s="65">
        <v>30.878</v>
      </c>
      <c r="AF25" s="65">
        <v>32.664999999999999</v>
      </c>
      <c r="AG25" s="65">
        <v>34.497999999999998</v>
      </c>
      <c r="AH25" s="65">
        <v>37.076000000000001</v>
      </c>
      <c r="AI25" s="65">
        <v>40.127000000000002</v>
      </c>
      <c r="AJ25" s="65">
        <v>45.237000000000002</v>
      </c>
      <c r="AK25" s="65">
        <v>49.182000000000002</v>
      </c>
      <c r="AL25" s="65">
        <v>51.966000000000001</v>
      </c>
      <c r="AM25" s="65">
        <v>54.034999999999997</v>
      </c>
      <c r="AN25" s="65">
        <v>54.6</v>
      </c>
      <c r="AO25" s="65">
        <v>56.564999999999998</v>
      </c>
      <c r="AP25" s="65">
        <v>58.497</v>
      </c>
      <c r="AQ25" s="65">
        <v>59.75</v>
      </c>
      <c r="AR25" s="65">
        <v>61.082000000000001</v>
      </c>
      <c r="AS25" s="65">
        <v>62.774000000000001</v>
      </c>
      <c r="AT25" s="65">
        <v>65.748000000000005</v>
      </c>
      <c r="AU25" s="65">
        <v>68.555000000000007</v>
      </c>
      <c r="AV25" s="65">
        <v>70.165000000000006</v>
      </c>
      <c r="AW25" s="65">
        <v>71.456000000000003</v>
      </c>
      <c r="AX25" s="65">
        <v>72.322999999999993</v>
      </c>
      <c r="AY25" s="65">
        <v>73.683000000000007</v>
      </c>
      <c r="AZ25" s="65">
        <v>75.137</v>
      </c>
      <c r="BA25" s="65">
        <v>75.897999999999996</v>
      </c>
      <c r="BB25" s="65">
        <v>75.739999999999995</v>
      </c>
      <c r="BC25" s="65">
        <v>76.325000000000003</v>
      </c>
      <c r="BD25" s="65">
        <v>78.159000000000006</v>
      </c>
      <c r="BE25" s="65">
        <v>77.106999999999999</v>
      </c>
      <c r="BF25" s="65">
        <v>76.951999999999998</v>
      </c>
      <c r="BG25" s="65">
        <v>79.171999999999997</v>
      </c>
      <c r="BH25" s="65">
        <v>82.236000000000004</v>
      </c>
      <c r="BI25" s="65">
        <v>85.634</v>
      </c>
      <c r="BJ25" s="65">
        <v>88.49</v>
      </c>
      <c r="BK25" s="65">
        <v>91.504000000000005</v>
      </c>
      <c r="BL25" s="65">
        <v>94.745999999999995</v>
      </c>
      <c r="BM25" s="65">
        <v>91.385999999999996</v>
      </c>
      <c r="BN25" s="65">
        <v>94.197000000000003</v>
      </c>
      <c r="BO25" s="65">
        <v>97.998999999999995</v>
      </c>
      <c r="BP25" s="65">
        <v>100</v>
      </c>
      <c r="BQ25" s="65">
        <v>102.099</v>
      </c>
      <c r="BR25" s="65">
        <v>104.336</v>
      </c>
      <c r="BS25" s="65">
        <v>103.83799999999999</v>
      </c>
      <c r="BT25" s="65">
        <v>105.395</v>
      </c>
      <c r="BU25" s="65">
        <v>108.084</v>
      </c>
    </row>
    <row r="26" spans="1:73" x14ac:dyDescent="0.25">
      <c r="A26" s="65" t="s">
        <v>165</v>
      </c>
      <c r="B26" s="65" t="s">
        <v>166</v>
      </c>
      <c r="C26" s="65">
        <v>13.584</v>
      </c>
      <c r="D26" s="65">
        <v>14.763</v>
      </c>
      <c r="E26" s="65">
        <v>14.07</v>
      </c>
      <c r="F26" s="65">
        <v>14.945</v>
      </c>
      <c r="G26" s="65">
        <v>18.062999999999999</v>
      </c>
      <c r="H26" s="65">
        <v>17.408999999999999</v>
      </c>
      <c r="I26" s="65">
        <v>16.661999999999999</v>
      </c>
      <c r="J26" s="65">
        <v>16.888999999999999</v>
      </c>
      <c r="K26" s="65">
        <v>16.797999999999998</v>
      </c>
      <c r="L26" s="65">
        <v>17.094000000000001</v>
      </c>
      <c r="M26" s="65">
        <v>17.289000000000001</v>
      </c>
      <c r="N26" s="65">
        <v>16.571000000000002</v>
      </c>
      <c r="O26" s="65">
        <v>16.72</v>
      </c>
      <c r="P26" s="65">
        <v>16.881</v>
      </c>
      <c r="Q26" s="65">
        <v>16.881</v>
      </c>
      <c r="R26" s="65">
        <v>16.681999999999999</v>
      </c>
      <c r="S26" s="65">
        <v>17.006</v>
      </c>
      <c r="T26" s="65">
        <v>17.364000000000001</v>
      </c>
      <c r="U26" s="65">
        <v>17.606000000000002</v>
      </c>
      <c r="V26" s="65">
        <v>18.015999999999998</v>
      </c>
      <c r="W26" s="65">
        <v>18.085999999999999</v>
      </c>
      <c r="X26" s="65">
        <v>18.361000000000001</v>
      </c>
      <c r="Y26" s="65">
        <v>18.838999999999999</v>
      </c>
      <c r="Z26" s="65">
        <v>19.954000000000001</v>
      </c>
      <c r="AA26" s="65">
        <v>21.178999999999998</v>
      </c>
      <c r="AB26" s="65">
        <v>22.661999999999999</v>
      </c>
      <c r="AC26" s="65">
        <v>26.600999999999999</v>
      </c>
      <c r="AD26" s="65">
        <v>38.058</v>
      </c>
      <c r="AE26" s="65">
        <v>41.225999999999999</v>
      </c>
      <c r="AF26" s="65">
        <v>42.466999999999999</v>
      </c>
      <c r="AG26" s="65">
        <v>46.209000000000003</v>
      </c>
      <c r="AH26" s="65">
        <v>49.470999999999997</v>
      </c>
      <c r="AI26" s="65">
        <v>57.93</v>
      </c>
      <c r="AJ26" s="65">
        <v>72.168999999999997</v>
      </c>
      <c r="AK26" s="65">
        <v>76.06</v>
      </c>
      <c r="AL26" s="65">
        <v>73.507000000000005</v>
      </c>
      <c r="AM26" s="65">
        <v>70.751000000000005</v>
      </c>
      <c r="AN26" s="65">
        <v>70.138999999999996</v>
      </c>
      <c r="AO26" s="65">
        <v>67.835999999999999</v>
      </c>
      <c r="AP26" s="65">
        <v>67.843999999999994</v>
      </c>
      <c r="AQ26" s="65">
        <v>71.935000000000002</v>
      </c>
      <c r="AR26" s="65">
        <v>75.376999999999995</v>
      </c>
      <c r="AS26" s="65">
        <v>77.024000000000001</v>
      </c>
      <c r="AT26" s="65">
        <v>79.233000000000004</v>
      </c>
      <c r="AU26" s="65">
        <v>78.572999999999993</v>
      </c>
      <c r="AV26" s="65">
        <v>78.635999999999996</v>
      </c>
      <c r="AW26" s="65">
        <v>78.033000000000001</v>
      </c>
      <c r="AX26" s="65">
        <v>78.766000000000005</v>
      </c>
      <c r="AY26" s="65">
        <v>80.924000000000007</v>
      </c>
      <c r="AZ26" s="65">
        <v>79.513999999999996</v>
      </c>
      <c r="BA26" s="65">
        <v>76.75</v>
      </c>
      <c r="BB26" s="65">
        <v>72.617999999999995</v>
      </c>
      <c r="BC26" s="65">
        <v>73.019000000000005</v>
      </c>
      <c r="BD26" s="65">
        <v>76.221000000000004</v>
      </c>
      <c r="BE26" s="65">
        <v>74.222999999999999</v>
      </c>
      <c r="BF26" s="65">
        <v>73.242000000000004</v>
      </c>
      <c r="BG26" s="65">
        <v>75.453999999999994</v>
      </c>
      <c r="BH26" s="65">
        <v>79.06</v>
      </c>
      <c r="BI26" s="65">
        <v>83.703000000000003</v>
      </c>
      <c r="BJ26" s="65">
        <v>86.909000000000006</v>
      </c>
      <c r="BK26" s="65">
        <v>89.921000000000006</v>
      </c>
      <c r="BL26" s="65">
        <v>98.96</v>
      </c>
      <c r="BM26" s="65">
        <v>87.986999999999995</v>
      </c>
      <c r="BN26" s="65">
        <v>92.783000000000001</v>
      </c>
      <c r="BO26" s="65">
        <v>99.825999999999993</v>
      </c>
      <c r="BP26" s="65">
        <v>100</v>
      </c>
      <c r="BQ26" s="65">
        <v>98.635999999999996</v>
      </c>
      <c r="BR26" s="65">
        <v>97.777000000000001</v>
      </c>
      <c r="BS26" s="65">
        <v>89.727999999999994</v>
      </c>
      <c r="BT26" s="65">
        <v>86.53</v>
      </c>
      <c r="BU26" s="65">
        <v>88.510999999999996</v>
      </c>
    </row>
    <row r="27" spans="1:73" x14ac:dyDescent="0.25">
      <c r="A27" s="65" t="s">
        <v>167</v>
      </c>
      <c r="B27" s="65" t="s">
        <v>162</v>
      </c>
      <c r="C27" s="65">
        <v>13.532</v>
      </c>
      <c r="D27" s="65">
        <v>14.943</v>
      </c>
      <c r="E27" s="65">
        <v>14.146000000000001</v>
      </c>
      <c r="F27" s="65">
        <v>15.302</v>
      </c>
      <c r="G27" s="65">
        <v>19.21</v>
      </c>
      <c r="H27" s="65">
        <v>18.263000000000002</v>
      </c>
      <c r="I27" s="65">
        <v>17.48</v>
      </c>
      <c r="J27" s="65">
        <v>17.856000000000002</v>
      </c>
      <c r="K27" s="65">
        <v>17.808</v>
      </c>
      <c r="L27" s="65">
        <v>18.157</v>
      </c>
      <c r="M27" s="65">
        <v>18.318999999999999</v>
      </c>
      <c r="N27" s="65">
        <v>17.361999999999998</v>
      </c>
      <c r="O27" s="65">
        <v>17.488</v>
      </c>
      <c r="P27" s="65">
        <v>17.675000000000001</v>
      </c>
      <c r="Q27" s="65">
        <v>17.506</v>
      </c>
      <c r="R27" s="65">
        <v>17.088000000000001</v>
      </c>
      <c r="S27" s="65">
        <v>17.245000000000001</v>
      </c>
      <c r="T27" s="65">
        <v>17.71</v>
      </c>
      <c r="U27" s="65">
        <v>17.797999999999998</v>
      </c>
      <c r="V27" s="65">
        <v>18.199000000000002</v>
      </c>
      <c r="W27" s="65">
        <v>18.225000000000001</v>
      </c>
      <c r="X27" s="65">
        <v>18.47</v>
      </c>
      <c r="Y27" s="65">
        <v>18.989999999999998</v>
      </c>
      <c r="Z27" s="65">
        <v>20.280999999999999</v>
      </c>
      <c r="AA27" s="65">
        <v>21.32</v>
      </c>
      <c r="AB27" s="65">
        <v>22.954000000000001</v>
      </c>
      <c r="AC27" s="65">
        <v>27.055</v>
      </c>
      <c r="AD27" s="65">
        <v>40.485999999999997</v>
      </c>
      <c r="AE27" s="65">
        <v>43.878</v>
      </c>
      <c r="AF27" s="65">
        <v>45.051000000000002</v>
      </c>
      <c r="AG27" s="65">
        <v>49.177999999999997</v>
      </c>
      <c r="AH27" s="65">
        <v>52.456000000000003</v>
      </c>
      <c r="AI27" s="65">
        <v>61.853999999999999</v>
      </c>
      <c r="AJ27" s="65">
        <v>78.064999999999998</v>
      </c>
      <c r="AK27" s="65">
        <v>82.426000000000002</v>
      </c>
      <c r="AL27" s="65">
        <v>79.111000000000004</v>
      </c>
      <c r="AM27" s="65">
        <v>75.802000000000007</v>
      </c>
      <c r="AN27" s="65">
        <v>75.28</v>
      </c>
      <c r="AO27" s="65">
        <v>72.317999999999998</v>
      </c>
      <c r="AP27" s="65">
        <v>70.709999999999994</v>
      </c>
      <c r="AQ27" s="65">
        <v>75.73</v>
      </c>
      <c r="AR27" s="65">
        <v>79.337999999999994</v>
      </c>
      <c r="AS27" s="65">
        <v>81.558000000000007</v>
      </c>
      <c r="AT27" s="65">
        <v>83.055999999999997</v>
      </c>
      <c r="AU27" s="65">
        <v>81.486000000000004</v>
      </c>
      <c r="AV27" s="65">
        <v>81.040000000000006</v>
      </c>
      <c r="AW27" s="65">
        <v>80.134</v>
      </c>
      <c r="AX27" s="65">
        <v>80.718000000000004</v>
      </c>
      <c r="AY27" s="65">
        <v>82.87</v>
      </c>
      <c r="AZ27" s="65">
        <v>80.77</v>
      </c>
      <c r="BA27" s="65">
        <v>77.433999999999997</v>
      </c>
      <c r="BB27" s="65">
        <v>72.757000000000005</v>
      </c>
      <c r="BC27" s="65">
        <v>72.8</v>
      </c>
      <c r="BD27" s="65">
        <v>76.641000000000005</v>
      </c>
      <c r="BE27" s="65">
        <v>74.463999999999999</v>
      </c>
      <c r="BF27" s="65">
        <v>73.096999999999994</v>
      </c>
      <c r="BG27" s="65">
        <v>74.686999999999998</v>
      </c>
      <c r="BH27" s="65">
        <v>78.231999999999999</v>
      </c>
      <c r="BI27" s="65">
        <v>83.183000000000007</v>
      </c>
      <c r="BJ27" s="65">
        <v>86.528000000000006</v>
      </c>
      <c r="BK27" s="65">
        <v>89.429000000000002</v>
      </c>
      <c r="BL27" s="65">
        <v>99.233999999999995</v>
      </c>
      <c r="BM27" s="65">
        <v>86.628</v>
      </c>
      <c r="BN27" s="65">
        <v>92.052000000000007</v>
      </c>
      <c r="BO27" s="65">
        <v>99.912999999999997</v>
      </c>
      <c r="BP27" s="65">
        <v>100</v>
      </c>
      <c r="BQ27" s="65">
        <v>98.054000000000002</v>
      </c>
      <c r="BR27" s="65">
        <v>96.715000000000003</v>
      </c>
      <c r="BS27" s="65">
        <v>87.463999999999999</v>
      </c>
      <c r="BT27" s="65">
        <v>83.768000000000001</v>
      </c>
      <c r="BU27" s="65">
        <v>85.760999999999996</v>
      </c>
    </row>
    <row r="28" spans="1:73" x14ac:dyDescent="0.25">
      <c r="A28" s="65" t="s">
        <v>168</v>
      </c>
      <c r="B28" s="65" t="s">
        <v>164</v>
      </c>
      <c r="C28" s="65">
        <v>14.128</v>
      </c>
      <c r="D28" s="65">
        <v>14.627000000000001</v>
      </c>
      <c r="E28" s="65">
        <v>14.222</v>
      </c>
      <c r="F28" s="65">
        <v>14.25</v>
      </c>
      <c r="G28" s="65">
        <v>15.092000000000001</v>
      </c>
      <c r="H28" s="65">
        <v>15.124000000000001</v>
      </c>
      <c r="I28" s="65">
        <v>14.472</v>
      </c>
      <c r="J28" s="65">
        <v>14.432</v>
      </c>
      <c r="K28" s="65">
        <v>14.278</v>
      </c>
      <c r="L28" s="65">
        <v>14.471</v>
      </c>
      <c r="M28" s="65">
        <v>14.71</v>
      </c>
      <c r="N28" s="65">
        <v>14.404999999999999</v>
      </c>
      <c r="O28" s="65">
        <v>14.583</v>
      </c>
      <c r="P28" s="65">
        <v>14.691000000000001</v>
      </c>
      <c r="Q28" s="65">
        <v>14.974</v>
      </c>
      <c r="R28" s="65">
        <v>15.17</v>
      </c>
      <c r="S28" s="65">
        <v>15.792999999999999</v>
      </c>
      <c r="T28" s="65">
        <v>15.927</v>
      </c>
      <c r="U28" s="65">
        <v>16.483000000000001</v>
      </c>
      <c r="V28" s="65">
        <v>16.896000000000001</v>
      </c>
      <c r="W28" s="65">
        <v>17.059999999999999</v>
      </c>
      <c r="X28" s="65">
        <v>17.393000000000001</v>
      </c>
      <c r="Y28" s="65">
        <v>17.747</v>
      </c>
      <c r="Z28" s="65">
        <v>18.38</v>
      </c>
      <c r="AA28" s="65">
        <v>20.045000000000002</v>
      </c>
      <c r="AB28" s="65">
        <v>21.042999999999999</v>
      </c>
      <c r="AC28" s="65">
        <v>24.341000000000001</v>
      </c>
      <c r="AD28" s="65">
        <v>28.946999999999999</v>
      </c>
      <c r="AE28" s="65">
        <v>31.294</v>
      </c>
      <c r="AF28" s="65">
        <v>32.707999999999998</v>
      </c>
      <c r="AG28" s="65">
        <v>35.033000000000001</v>
      </c>
      <c r="AH28" s="65">
        <v>38.215000000000003</v>
      </c>
      <c r="AI28" s="65">
        <v>43.156999999999996</v>
      </c>
      <c r="AJ28" s="65">
        <v>50.085999999999999</v>
      </c>
      <c r="AK28" s="65">
        <v>52.264000000000003</v>
      </c>
      <c r="AL28" s="65">
        <v>52.302999999999997</v>
      </c>
      <c r="AM28" s="65">
        <v>51.444000000000003</v>
      </c>
      <c r="AN28" s="65">
        <v>50.56</v>
      </c>
      <c r="AO28" s="65">
        <v>50.497999999999998</v>
      </c>
      <c r="AP28" s="65">
        <v>55.969000000000001</v>
      </c>
      <c r="AQ28" s="65">
        <v>56.762999999999998</v>
      </c>
      <c r="AR28" s="65">
        <v>59.533000000000001</v>
      </c>
      <c r="AS28" s="65">
        <v>59.218000000000004</v>
      </c>
      <c r="AT28" s="65">
        <v>63.655000000000001</v>
      </c>
      <c r="AU28" s="65">
        <v>65.983000000000004</v>
      </c>
      <c r="AV28" s="65">
        <v>67.835999999999999</v>
      </c>
      <c r="AW28" s="65">
        <v>68.411000000000001</v>
      </c>
      <c r="AX28" s="65">
        <v>69.753</v>
      </c>
      <c r="AY28" s="65">
        <v>71.930999999999997</v>
      </c>
      <c r="AZ28" s="65">
        <v>73.725999999999999</v>
      </c>
      <c r="BA28" s="65">
        <v>73.724000000000004</v>
      </c>
      <c r="BB28" s="65">
        <v>72.281999999999996</v>
      </c>
      <c r="BC28" s="65">
        <v>74.537000000000006</v>
      </c>
      <c r="BD28" s="65">
        <v>74.259</v>
      </c>
      <c r="BE28" s="65">
        <v>73.213999999999999</v>
      </c>
      <c r="BF28" s="65">
        <v>74.271000000000001</v>
      </c>
      <c r="BG28" s="65">
        <v>79.866</v>
      </c>
      <c r="BH28" s="65">
        <v>83.817999999999998</v>
      </c>
      <c r="BI28" s="65">
        <v>86.721000000000004</v>
      </c>
      <c r="BJ28" s="65">
        <v>89.134</v>
      </c>
      <c r="BK28" s="65">
        <v>92.77</v>
      </c>
      <c r="BL28" s="65">
        <v>97.798000000000002</v>
      </c>
      <c r="BM28" s="65">
        <v>94.510999999999996</v>
      </c>
      <c r="BN28" s="65">
        <v>96.415999999999997</v>
      </c>
      <c r="BO28" s="65">
        <v>99.391999999999996</v>
      </c>
      <c r="BP28" s="65">
        <v>100</v>
      </c>
      <c r="BQ28" s="65">
        <v>101.575</v>
      </c>
      <c r="BR28" s="65">
        <v>103.196</v>
      </c>
      <c r="BS28" s="65">
        <v>101.498</v>
      </c>
      <c r="BT28" s="65">
        <v>100.91800000000001</v>
      </c>
      <c r="BU28" s="65">
        <v>102.83499999999999</v>
      </c>
    </row>
    <row r="29" spans="1:73" ht="13" x14ac:dyDescent="0.3">
      <c r="A29" s="65" t="s">
        <v>169</v>
      </c>
      <c r="B29" s="7" t="s">
        <v>170</v>
      </c>
      <c r="C29" s="65">
        <v>7.62</v>
      </c>
      <c r="D29" s="65">
        <v>7.93</v>
      </c>
      <c r="E29" s="65">
        <v>8.1509999999999998</v>
      </c>
      <c r="F29" s="65">
        <v>8.234</v>
      </c>
      <c r="G29" s="65">
        <v>8.7379999999999995</v>
      </c>
      <c r="H29" s="65">
        <v>8.9169999999999998</v>
      </c>
      <c r="I29" s="65">
        <v>9.0169999999999995</v>
      </c>
      <c r="J29" s="65">
        <v>9.2080000000000002</v>
      </c>
      <c r="K29" s="65">
        <v>9.5670000000000002</v>
      </c>
      <c r="L29" s="65">
        <v>10.081</v>
      </c>
      <c r="M29" s="65">
        <v>10.519</v>
      </c>
      <c r="N29" s="65">
        <v>10.840999999999999</v>
      </c>
      <c r="O29" s="65">
        <v>10.972</v>
      </c>
      <c r="P29" s="65">
        <v>11.093</v>
      </c>
      <c r="Q29" s="65">
        <v>11.285</v>
      </c>
      <c r="R29" s="65">
        <v>11.497999999999999</v>
      </c>
      <c r="S29" s="65">
        <v>11.778</v>
      </c>
      <c r="T29" s="65">
        <v>12.087999999999999</v>
      </c>
      <c r="U29" s="65">
        <v>12.416</v>
      </c>
      <c r="V29" s="65">
        <v>12.91</v>
      </c>
      <c r="W29" s="65">
        <v>13.353</v>
      </c>
      <c r="X29" s="65">
        <v>14.068</v>
      </c>
      <c r="Y29" s="65">
        <v>14.891999999999999</v>
      </c>
      <c r="Z29" s="65">
        <v>16.077999999999999</v>
      </c>
      <c r="AA29" s="65">
        <v>17.350999999999999</v>
      </c>
      <c r="AB29" s="65">
        <v>18.661000000000001</v>
      </c>
      <c r="AC29" s="65">
        <v>19.937000000000001</v>
      </c>
      <c r="AD29" s="65">
        <v>21.850999999999999</v>
      </c>
      <c r="AE29" s="65">
        <v>23.87</v>
      </c>
      <c r="AF29" s="65">
        <v>25.181000000000001</v>
      </c>
      <c r="AG29" s="65">
        <v>26.739000000000001</v>
      </c>
      <c r="AH29" s="65">
        <v>28.507000000000001</v>
      </c>
      <c r="AI29" s="65">
        <v>30.852</v>
      </c>
      <c r="AJ29" s="65">
        <v>34.045000000000002</v>
      </c>
      <c r="AK29" s="65">
        <v>37.423999999999999</v>
      </c>
      <c r="AL29" s="65">
        <v>39.970999999999997</v>
      </c>
      <c r="AM29" s="65">
        <v>41.515999999999998</v>
      </c>
      <c r="AN29" s="65">
        <v>43.317</v>
      </c>
      <c r="AO29" s="65">
        <v>44.658999999999999</v>
      </c>
      <c r="AP29" s="65">
        <v>45.408999999999999</v>
      </c>
      <c r="AQ29" s="65">
        <v>46.634999999999998</v>
      </c>
      <c r="AR29" s="65">
        <v>48.177</v>
      </c>
      <c r="AS29" s="65">
        <v>50.015999999999998</v>
      </c>
      <c r="AT29" s="65">
        <v>52.113</v>
      </c>
      <c r="AU29" s="65">
        <v>54.005000000000003</v>
      </c>
      <c r="AV29" s="65">
        <v>55.642000000000003</v>
      </c>
      <c r="AW29" s="65">
        <v>56.953000000000003</v>
      </c>
      <c r="AX29" s="65">
        <v>58.463000000000001</v>
      </c>
      <c r="AY29" s="65">
        <v>60.122999999999998</v>
      </c>
      <c r="AZ29" s="65">
        <v>61.354999999999997</v>
      </c>
      <c r="BA29" s="65">
        <v>62.56</v>
      </c>
      <c r="BB29" s="65">
        <v>63.624000000000002</v>
      </c>
      <c r="BC29" s="65">
        <v>65.778000000000006</v>
      </c>
      <c r="BD29" s="65">
        <v>68.600999999999999</v>
      </c>
      <c r="BE29" s="65">
        <v>70.566999999999993</v>
      </c>
      <c r="BF29" s="65">
        <v>72.393000000000001</v>
      </c>
      <c r="BG29" s="65">
        <v>75.028000000000006</v>
      </c>
      <c r="BH29" s="65">
        <v>78.153000000000006</v>
      </c>
      <c r="BI29" s="65">
        <v>82.11</v>
      </c>
      <c r="BJ29" s="65">
        <v>85.661000000000001</v>
      </c>
      <c r="BK29" s="65">
        <v>89.492000000000004</v>
      </c>
      <c r="BL29" s="65">
        <v>93.316999999999993</v>
      </c>
      <c r="BM29" s="65">
        <v>92.930999999999997</v>
      </c>
      <c r="BN29" s="65">
        <v>95.385999999999996</v>
      </c>
      <c r="BO29" s="65">
        <v>98.284999999999997</v>
      </c>
      <c r="BP29" s="65">
        <v>100</v>
      </c>
      <c r="BQ29" s="65">
        <v>102.33199999999999</v>
      </c>
      <c r="BR29" s="65">
        <v>104.44499999999999</v>
      </c>
      <c r="BS29" s="65">
        <v>104.717</v>
      </c>
      <c r="BT29" s="65">
        <v>105.059</v>
      </c>
      <c r="BU29" s="65">
        <v>107.797</v>
      </c>
    </row>
    <row r="30" spans="1:73" x14ac:dyDescent="0.25">
      <c r="A30" s="65" t="s">
        <v>171</v>
      </c>
      <c r="B30" s="65" t="s">
        <v>172</v>
      </c>
      <c r="C30" s="65">
        <v>9.8940000000000001</v>
      </c>
      <c r="D30" s="65">
        <v>9.8710000000000004</v>
      </c>
      <c r="E30" s="65">
        <v>10.266</v>
      </c>
      <c r="F30" s="65">
        <v>10.393000000000001</v>
      </c>
      <c r="G30" s="65">
        <v>10.811</v>
      </c>
      <c r="H30" s="65">
        <v>10.93</v>
      </c>
      <c r="I30" s="65">
        <v>11.015000000000001</v>
      </c>
      <c r="J30" s="65">
        <v>11.278</v>
      </c>
      <c r="K30" s="65">
        <v>11.821999999999999</v>
      </c>
      <c r="L30" s="65">
        <v>12.395</v>
      </c>
      <c r="M30" s="65">
        <v>12.936999999999999</v>
      </c>
      <c r="N30" s="65">
        <v>13.446</v>
      </c>
      <c r="O30" s="65">
        <v>13.56</v>
      </c>
      <c r="P30" s="65">
        <v>13.654999999999999</v>
      </c>
      <c r="Q30" s="65">
        <v>13.818</v>
      </c>
      <c r="R30" s="65">
        <v>14.012</v>
      </c>
      <c r="S30" s="65">
        <v>14.364000000000001</v>
      </c>
      <c r="T30" s="65">
        <v>14.811</v>
      </c>
      <c r="U30" s="65">
        <v>15.179</v>
      </c>
      <c r="V30" s="65">
        <v>15.691000000000001</v>
      </c>
      <c r="W30" s="65">
        <v>16.041</v>
      </c>
      <c r="X30" s="65">
        <v>16.847999999999999</v>
      </c>
      <c r="Y30" s="65">
        <v>17.713999999999999</v>
      </c>
      <c r="Z30" s="65">
        <v>19.108000000000001</v>
      </c>
      <c r="AA30" s="65">
        <v>20.669</v>
      </c>
      <c r="AB30" s="65">
        <v>22.484000000000002</v>
      </c>
      <c r="AC30" s="65">
        <v>24.050999999999998</v>
      </c>
      <c r="AD30" s="65">
        <v>25.968</v>
      </c>
      <c r="AE30" s="65">
        <v>28.254000000000001</v>
      </c>
      <c r="AF30" s="65">
        <v>30.012</v>
      </c>
      <c r="AG30" s="65">
        <v>31.856999999999999</v>
      </c>
      <c r="AH30" s="65">
        <v>34.008000000000003</v>
      </c>
      <c r="AI30" s="65">
        <v>36.564999999999998</v>
      </c>
      <c r="AJ30" s="65">
        <v>40.098999999999997</v>
      </c>
      <c r="AK30" s="65">
        <v>43.843000000000004</v>
      </c>
      <c r="AL30" s="65">
        <v>46.948</v>
      </c>
      <c r="AM30" s="65">
        <v>48.499000000000002</v>
      </c>
      <c r="AN30" s="65">
        <v>50.637</v>
      </c>
      <c r="AO30" s="65">
        <v>51.712000000000003</v>
      </c>
      <c r="AP30" s="65">
        <v>51.957000000000001</v>
      </c>
      <c r="AQ30" s="65">
        <v>52.317999999999998</v>
      </c>
      <c r="AR30" s="65">
        <v>54.024999999999999</v>
      </c>
      <c r="AS30" s="65">
        <v>55.533999999999999</v>
      </c>
      <c r="AT30" s="65">
        <v>57.25</v>
      </c>
      <c r="AU30" s="65">
        <v>59.308999999999997</v>
      </c>
      <c r="AV30" s="65">
        <v>60.823999999999998</v>
      </c>
      <c r="AW30" s="65">
        <v>62.151000000000003</v>
      </c>
      <c r="AX30" s="65">
        <v>63.860999999999997</v>
      </c>
      <c r="AY30" s="65">
        <v>65.837999999999994</v>
      </c>
      <c r="AZ30" s="65">
        <v>66.936999999999998</v>
      </c>
      <c r="BA30" s="65">
        <v>67.971999999999994</v>
      </c>
      <c r="BB30" s="65">
        <v>68.840999999999994</v>
      </c>
      <c r="BC30" s="65">
        <v>70.519000000000005</v>
      </c>
      <c r="BD30" s="65">
        <v>72.885999999999996</v>
      </c>
      <c r="BE30" s="65">
        <v>74.236000000000004</v>
      </c>
      <c r="BF30" s="65">
        <v>76.631</v>
      </c>
      <c r="BG30" s="65">
        <v>80.007999999999996</v>
      </c>
      <c r="BH30" s="65">
        <v>82.76</v>
      </c>
      <c r="BI30" s="65">
        <v>86.203999999999994</v>
      </c>
      <c r="BJ30" s="65">
        <v>88.948999999999998</v>
      </c>
      <c r="BK30" s="65">
        <v>91.59</v>
      </c>
      <c r="BL30" s="65">
        <v>94.403999999999996</v>
      </c>
      <c r="BM30" s="65">
        <v>94.213999999999999</v>
      </c>
      <c r="BN30" s="65">
        <v>96.421000000000006</v>
      </c>
      <c r="BO30" s="65">
        <v>99.07</v>
      </c>
      <c r="BP30" s="65">
        <v>100</v>
      </c>
      <c r="BQ30" s="65">
        <v>100.931</v>
      </c>
      <c r="BR30" s="65">
        <v>102.61799999999999</v>
      </c>
      <c r="BS30" s="65">
        <v>103.2</v>
      </c>
      <c r="BT30" s="65">
        <v>103.73699999999999</v>
      </c>
      <c r="BU30" s="65">
        <v>105.753</v>
      </c>
    </row>
    <row r="31" spans="1:73" x14ac:dyDescent="0.25">
      <c r="A31" s="65" t="s">
        <v>173</v>
      </c>
      <c r="B31" s="65" t="s">
        <v>174</v>
      </c>
      <c r="C31" s="65">
        <v>9.5730000000000004</v>
      </c>
      <c r="D31" s="65">
        <v>9.6039999999999992</v>
      </c>
      <c r="E31" s="65">
        <v>9.9239999999999995</v>
      </c>
      <c r="F31" s="65">
        <v>10.137</v>
      </c>
      <c r="G31" s="65">
        <v>10.449</v>
      </c>
      <c r="H31" s="65">
        <v>10.506</v>
      </c>
      <c r="I31" s="65">
        <v>10.545</v>
      </c>
      <c r="J31" s="65">
        <v>10.82</v>
      </c>
      <c r="K31" s="65">
        <v>11.366</v>
      </c>
      <c r="L31" s="65">
        <v>11.984999999999999</v>
      </c>
      <c r="M31" s="65">
        <v>12.510999999999999</v>
      </c>
      <c r="N31" s="65">
        <v>12.981</v>
      </c>
      <c r="O31" s="65">
        <v>13.071</v>
      </c>
      <c r="P31" s="65">
        <v>13.162000000000001</v>
      </c>
      <c r="Q31" s="65">
        <v>13.275</v>
      </c>
      <c r="R31" s="65">
        <v>13.436999999999999</v>
      </c>
      <c r="S31" s="65">
        <v>13.794</v>
      </c>
      <c r="T31" s="65">
        <v>14.185</v>
      </c>
      <c r="U31" s="65">
        <v>14.555999999999999</v>
      </c>
      <c r="V31" s="65">
        <v>15.065</v>
      </c>
      <c r="W31" s="65">
        <v>15.425000000000001</v>
      </c>
      <c r="X31" s="65">
        <v>16.195</v>
      </c>
      <c r="Y31" s="65">
        <v>17.018000000000001</v>
      </c>
      <c r="Z31" s="65">
        <v>18.292999999999999</v>
      </c>
      <c r="AA31" s="65">
        <v>19.815000000000001</v>
      </c>
      <c r="AB31" s="65">
        <v>21.881</v>
      </c>
      <c r="AC31" s="65">
        <v>23.484999999999999</v>
      </c>
      <c r="AD31" s="65">
        <v>25.4</v>
      </c>
      <c r="AE31" s="65">
        <v>27.545000000000002</v>
      </c>
      <c r="AF31" s="65">
        <v>29.344999999999999</v>
      </c>
      <c r="AG31" s="65">
        <v>31.266999999999999</v>
      </c>
      <c r="AH31" s="65">
        <v>33.561</v>
      </c>
      <c r="AI31" s="65">
        <v>36.213999999999999</v>
      </c>
      <c r="AJ31" s="65">
        <v>39.918999999999997</v>
      </c>
      <c r="AK31" s="65">
        <v>43.747</v>
      </c>
      <c r="AL31" s="65">
        <v>47.039000000000001</v>
      </c>
      <c r="AM31" s="65">
        <v>48.777999999999999</v>
      </c>
      <c r="AN31" s="65">
        <v>51.012999999999998</v>
      </c>
      <c r="AO31" s="65">
        <v>51.872</v>
      </c>
      <c r="AP31" s="65">
        <v>51.893999999999998</v>
      </c>
      <c r="AQ31" s="65">
        <v>52.267000000000003</v>
      </c>
      <c r="AR31" s="65">
        <v>53.904000000000003</v>
      </c>
      <c r="AS31" s="65">
        <v>55.365000000000002</v>
      </c>
      <c r="AT31" s="65">
        <v>57.161999999999999</v>
      </c>
      <c r="AU31" s="65">
        <v>58.963999999999999</v>
      </c>
      <c r="AV31" s="65">
        <v>60.677999999999997</v>
      </c>
      <c r="AW31" s="65">
        <v>61.615000000000002</v>
      </c>
      <c r="AX31" s="65">
        <v>63.228999999999999</v>
      </c>
      <c r="AY31" s="65">
        <v>65.027000000000001</v>
      </c>
      <c r="AZ31" s="65">
        <v>66.114000000000004</v>
      </c>
      <c r="BA31" s="65">
        <v>67.034999999999997</v>
      </c>
      <c r="BB31" s="65">
        <v>67.870999999999995</v>
      </c>
      <c r="BC31" s="65">
        <v>69.558999999999997</v>
      </c>
      <c r="BD31" s="65">
        <v>71.908000000000001</v>
      </c>
      <c r="BE31" s="65">
        <v>73.27</v>
      </c>
      <c r="BF31" s="65">
        <v>75.713999999999999</v>
      </c>
      <c r="BG31" s="65">
        <v>79.504999999999995</v>
      </c>
      <c r="BH31" s="65">
        <v>82.263000000000005</v>
      </c>
      <c r="BI31" s="65">
        <v>86.010999999999996</v>
      </c>
      <c r="BJ31" s="65">
        <v>89.022000000000006</v>
      </c>
      <c r="BK31" s="65">
        <v>91.75</v>
      </c>
      <c r="BL31" s="65">
        <v>94.801000000000002</v>
      </c>
      <c r="BM31" s="65">
        <v>94.126000000000005</v>
      </c>
      <c r="BN31" s="65">
        <v>96.128</v>
      </c>
      <c r="BO31" s="65">
        <v>98.945999999999998</v>
      </c>
      <c r="BP31" s="65">
        <v>100</v>
      </c>
      <c r="BQ31" s="65">
        <v>100.60899999999999</v>
      </c>
      <c r="BR31" s="65">
        <v>101.995</v>
      </c>
      <c r="BS31" s="65">
        <v>102.256</v>
      </c>
      <c r="BT31" s="65">
        <v>102.557</v>
      </c>
      <c r="BU31" s="65">
        <v>104.209</v>
      </c>
    </row>
    <row r="32" spans="1:73" x14ac:dyDescent="0.25">
      <c r="A32" s="65" t="s">
        <v>175</v>
      </c>
      <c r="B32" s="65" t="s">
        <v>176</v>
      </c>
      <c r="C32" s="65">
        <v>10.079000000000001</v>
      </c>
      <c r="D32" s="65">
        <v>9.8390000000000004</v>
      </c>
      <c r="E32" s="65">
        <v>10.43</v>
      </c>
      <c r="F32" s="65">
        <v>10.266999999999999</v>
      </c>
      <c r="G32" s="65">
        <v>11.129</v>
      </c>
      <c r="H32" s="65">
        <v>11.718</v>
      </c>
      <c r="I32" s="65">
        <v>12.164999999999999</v>
      </c>
      <c r="J32" s="65">
        <v>12.286</v>
      </c>
      <c r="K32" s="65">
        <v>12.707000000000001</v>
      </c>
      <c r="L32" s="65">
        <v>12.843999999999999</v>
      </c>
      <c r="M32" s="65">
        <v>13.391999999999999</v>
      </c>
      <c r="N32" s="65">
        <v>14.083</v>
      </c>
      <c r="O32" s="65">
        <v>14.384</v>
      </c>
      <c r="P32" s="65">
        <v>14.49</v>
      </c>
      <c r="Q32" s="65">
        <v>14.909000000000001</v>
      </c>
      <c r="R32" s="65">
        <v>15.247999999999999</v>
      </c>
      <c r="S32" s="65">
        <v>15.542</v>
      </c>
      <c r="T32" s="65">
        <v>16.175000000000001</v>
      </c>
      <c r="U32" s="65">
        <v>16.513999999999999</v>
      </c>
      <c r="V32" s="65">
        <v>17.004999999999999</v>
      </c>
      <c r="W32" s="65">
        <v>17.289000000000001</v>
      </c>
      <c r="X32" s="65">
        <v>18.18</v>
      </c>
      <c r="Y32" s="65">
        <v>19.154</v>
      </c>
      <c r="Z32" s="65">
        <v>20.905999999999999</v>
      </c>
      <c r="AA32" s="65">
        <v>22.521000000000001</v>
      </c>
      <c r="AB32" s="65">
        <v>23.579000000000001</v>
      </c>
      <c r="AC32" s="65">
        <v>25.018000000000001</v>
      </c>
      <c r="AD32" s="65">
        <v>26.904</v>
      </c>
      <c r="AE32" s="65">
        <v>29.484000000000002</v>
      </c>
      <c r="AF32" s="65">
        <v>31.123999999999999</v>
      </c>
      <c r="AG32" s="65">
        <v>32.781999999999996</v>
      </c>
      <c r="AH32" s="65">
        <v>34.612000000000002</v>
      </c>
      <c r="AI32" s="65">
        <v>36.951999999999998</v>
      </c>
      <c r="AJ32" s="65">
        <v>40.106000000000002</v>
      </c>
      <c r="AK32" s="65">
        <v>43.643000000000001</v>
      </c>
      <c r="AL32" s="65">
        <v>46.304000000000002</v>
      </c>
      <c r="AM32" s="65">
        <v>47.396999999999998</v>
      </c>
      <c r="AN32" s="65">
        <v>49.279000000000003</v>
      </c>
      <c r="AO32" s="65">
        <v>50.906999999999996</v>
      </c>
      <c r="AP32" s="65">
        <v>51.747999999999998</v>
      </c>
      <c r="AQ32" s="65">
        <v>52.076000000000001</v>
      </c>
      <c r="AR32" s="65">
        <v>53.973999999999997</v>
      </c>
      <c r="AS32" s="65">
        <v>55.604999999999997</v>
      </c>
      <c r="AT32" s="65">
        <v>57.093000000000004</v>
      </c>
      <c r="AU32" s="65">
        <v>59.786999999999999</v>
      </c>
      <c r="AV32" s="65">
        <v>60.825000000000003</v>
      </c>
      <c r="AW32" s="65">
        <v>62.994</v>
      </c>
      <c r="AX32" s="65">
        <v>64.897999999999996</v>
      </c>
      <c r="AY32" s="65">
        <v>67.222999999999999</v>
      </c>
      <c r="AZ32" s="65">
        <v>68.343999999999994</v>
      </c>
      <c r="BA32" s="65">
        <v>69.590999999999994</v>
      </c>
      <c r="BB32" s="65">
        <v>70.518000000000001</v>
      </c>
      <c r="BC32" s="65">
        <v>72.177999999999997</v>
      </c>
      <c r="BD32" s="65">
        <v>74.578000000000003</v>
      </c>
      <c r="BE32" s="65">
        <v>75.906000000000006</v>
      </c>
      <c r="BF32" s="65">
        <v>78.221999999999994</v>
      </c>
      <c r="BG32" s="65">
        <v>80.894999999999996</v>
      </c>
      <c r="BH32" s="65">
        <v>83.637</v>
      </c>
      <c r="BI32" s="65">
        <v>86.531000000000006</v>
      </c>
      <c r="BJ32" s="65">
        <v>88.799000000000007</v>
      </c>
      <c r="BK32" s="65">
        <v>91.281999999999996</v>
      </c>
      <c r="BL32" s="65">
        <v>93.664000000000001</v>
      </c>
      <c r="BM32" s="65">
        <v>94.364000000000004</v>
      </c>
      <c r="BN32" s="65">
        <v>96.941999999999993</v>
      </c>
      <c r="BO32" s="65">
        <v>99.289000000000001</v>
      </c>
      <c r="BP32" s="65">
        <v>100</v>
      </c>
      <c r="BQ32" s="65">
        <v>101.476</v>
      </c>
      <c r="BR32" s="65">
        <v>103.65600000000001</v>
      </c>
      <c r="BS32" s="65">
        <v>104.739</v>
      </c>
      <c r="BT32" s="65">
        <v>105.631</v>
      </c>
      <c r="BU32" s="65">
        <v>108.188</v>
      </c>
    </row>
    <row r="33" spans="1:73" x14ac:dyDescent="0.25">
      <c r="A33" s="65" t="s">
        <v>177</v>
      </c>
      <c r="B33" s="65" t="s">
        <v>178</v>
      </c>
      <c r="C33" s="65">
        <v>5.7839999999999998</v>
      </c>
      <c r="D33" s="65">
        <v>6.4690000000000003</v>
      </c>
      <c r="E33" s="65">
        <v>6.5270000000000001</v>
      </c>
      <c r="F33" s="65">
        <v>6.5709999999999997</v>
      </c>
      <c r="G33" s="65">
        <v>7.2190000000000003</v>
      </c>
      <c r="H33" s="65">
        <v>7.5339999999999998</v>
      </c>
      <c r="I33" s="65">
        <v>7.6829999999999998</v>
      </c>
      <c r="J33" s="65">
        <v>7.798</v>
      </c>
      <c r="K33" s="65">
        <v>7.9580000000000002</v>
      </c>
      <c r="L33" s="65">
        <v>8.4629999999999992</v>
      </c>
      <c r="M33" s="65">
        <v>8.8260000000000005</v>
      </c>
      <c r="N33" s="65">
        <v>8.9640000000000004</v>
      </c>
      <c r="O33" s="65">
        <v>9.1270000000000007</v>
      </c>
      <c r="P33" s="65">
        <v>9.2859999999999996</v>
      </c>
      <c r="Q33" s="65">
        <v>9.5229999999999997</v>
      </c>
      <c r="R33" s="65">
        <v>9.7710000000000008</v>
      </c>
      <c r="S33" s="65">
        <v>9.9990000000000006</v>
      </c>
      <c r="T33" s="65">
        <v>10.194000000000001</v>
      </c>
      <c r="U33" s="65">
        <v>10.502000000000001</v>
      </c>
      <c r="V33" s="65">
        <v>11.006</v>
      </c>
      <c r="W33" s="65">
        <v>11.564</v>
      </c>
      <c r="X33" s="65">
        <v>12.234</v>
      </c>
      <c r="Y33" s="65">
        <v>13.063000000000001</v>
      </c>
      <c r="Z33" s="65">
        <v>14.117000000000001</v>
      </c>
      <c r="AA33" s="65">
        <v>15.198</v>
      </c>
      <c r="AB33" s="65">
        <v>16.163</v>
      </c>
      <c r="AC33" s="65">
        <v>17.245999999999999</v>
      </c>
      <c r="AD33" s="65">
        <v>19.157</v>
      </c>
      <c r="AE33" s="65">
        <v>20.998999999999999</v>
      </c>
      <c r="AF33" s="65">
        <v>22.024000000000001</v>
      </c>
      <c r="AG33" s="65">
        <v>23.393999999999998</v>
      </c>
      <c r="AH33" s="65">
        <v>24.914000000000001</v>
      </c>
      <c r="AI33" s="65">
        <v>27.114000000000001</v>
      </c>
      <c r="AJ33" s="65">
        <v>30.081</v>
      </c>
      <c r="AK33" s="65">
        <v>33.225999999999999</v>
      </c>
      <c r="AL33" s="65">
        <v>35.401000000000003</v>
      </c>
      <c r="AM33" s="65">
        <v>36.963999999999999</v>
      </c>
      <c r="AN33" s="65">
        <v>38.543999999999997</v>
      </c>
      <c r="AO33" s="65">
        <v>40.113</v>
      </c>
      <c r="AP33" s="65">
        <v>41.268999999999998</v>
      </c>
      <c r="AQ33" s="65">
        <v>43.195999999999998</v>
      </c>
      <c r="AR33" s="65">
        <v>44.64</v>
      </c>
      <c r="AS33" s="65">
        <v>46.752000000000002</v>
      </c>
      <c r="AT33" s="65">
        <v>49.152999999999999</v>
      </c>
      <c r="AU33" s="65">
        <v>50.953000000000003</v>
      </c>
      <c r="AV33" s="65">
        <v>52.69</v>
      </c>
      <c r="AW33" s="65">
        <v>54.002000000000002</v>
      </c>
      <c r="AX33" s="65">
        <v>55.393999999999998</v>
      </c>
      <c r="AY33" s="65">
        <v>56.871000000000002</v>
      </c>
      <c r="AZ33" s="65">
        <v>58.177</v>
      </c>
      <c r="BA33" s="65">
        <v>59.470999999999997</v>
      </c>
      <c r="BB33" s="65">
        <v>60.63</v>
      </c>
      <c r="BC33" s="65">
        <v>63.008000000000003</v>
      </c>
      <c r="BD33" s="65">
        <v>66.031999999999996</v>
      </c>
      <c r="BE33" s="65">
        <v>68.281000000000006</v>
      </c>
      <c r="BF33" s="65">
        <v>69.814999999999998</v>
      </c>
      <c r="BG33" s="65">
        <v>72.05</v>
      </c>
      <c r="BH33" s="65">
        <v>75.369</v>
      </c>
      <c r="BI33" s="65">
        <v>79.608999999999995</v>
      </c>
      <c r="BJ33" s="65">
        <v>83.617000000000004</v>
      </c>
      <c r="BK33" s="65">
        <v>88.132999999999996</v>
      </c>
      <c r="BL33" s="65">
        <v>92.558000000000007</v>
      </c>
      <c r="BM33" s="65">
        <v>92.048000000000002</v>
      </c>
      <c r="BN33" s="65">
        <v>94.668999999999997</v>
      </c>
      <c r="BO33" s="65">
        <v>97.739000000000004</v>
      </c>
      <c r="BP33" s="65">
        <v>100</v>
      </c>
      <c r="BQ33" s="65">
        <v>103.279</v>
      </c>
      <c r="BR33" s="65">
        <v>105.67</v>
      </c>
      <c r="BS33" s="65">
        <v>105.748</v>
      </c>
      <c r="BT33" s="65">
        <v>105.97</v>
      </c>
      <c r="BU33" s="65">
        <v>109.155</v>
      </c>
    </row>
    <row r="34" spans="1:73" ht="13" x14ac:dyDescent="0.3">
      <c r="A34" s="65" t="s">
        <v>79</v>
      </c>
      <c r="B34" s="7" t="s">
        <v>179</v>
      </c>
      <c r="C34" s="65" t="s">
        <v>156</v>
      </c>
      <c r="D34" s="65" t="s">
        <v>156</v>
      </c>
      <c r="E34" s="65" t="s">
        <v>156</v>
      </c>
      <c r="F34" s="65" t="s">
        <v>156</v>
      </c>
      <c r="G34" s="65" t="s">
        <v>156</v>
      </c>
      <c r="H34" s="65" t="s">
        <v>156</v>
      </c>
      <c r="I34" s="65" t="s">
        <v>156</v>
      </c>
      <c r="J34" s="65" t="s">
        <v>156</v>
      </c>
      <c r="K34" s="65" t="s">
        <v>156</v>
      </c>
      <c r="L34" s="65" t="s">
        <v>156</v>
      </c>
      <c r="M34" s="65" t="s">
        <v>156</v>
      </c>
      <c r="N34" s="65" t="s">
        <v>156</v>
      </c>
      <c r="O34" s="65" t="s">
        <v>156</v>
      </c>
      <c r="P34" s="65" t="s">
        <v>156</v>
      </c>
      <c r="Q34" s="65" t="s">
        <v>156</v>
      </c>
      <c r="R34" s="65" t="s">
        <v>156</v>
      </c>
      <c r="S34" s="65" t="s">
        <v>156</v>
      </c>
      <c r="T34" s="65" t="s">
        <v>156</v>
      </c>
      <c r="U34" s="65" t="s">
        <v>156</v>
      </c>
      <c r="V34" s="65" t="s">
        <v>156</v>
      </c>
      <c r="W34" s="65" t="s">
        <v>156</v>
      </c>
      <c r="X34" s="65" t="s">
        <v>156</v>
      </c>
      <c r="Y34" s="65" t="s">
        <v>156</v>
      </c>
      <c r="Z34" s="65" t="s">
        <v>156</v>
      </c>
      <c r="AA34" s="65" t="s">
        <v>156</v>
      </c>
      <c r="AB34" s="65" t="s">
        <v>156</v>
      </c>
      <c r="AC34" s="65" t="s">
        <v>156</v>
      </c>
      <c r="AD34" s="65" t="s">
        <v>156</v>
      </c>
      <c r="AE34" s="65" t="s">
        <v>156</v>
      </c>
      <c r="AF34" s="65" t="s">
        <v>156</v>
      </c>
      <c r="AG34" s="65" t="s">
        <v>156</v>
      </c>
      <c r="AH34" s="65" t="s">
        <v>156</v>
      </c>
      <c r="AI34" s="65" t="s">
        <v>156</v>
      </c>
      <c r="AJ34" s="65" t="s">
        <v>156</v>
      </c>
      <c r="AK34" s="65" t="s">
        <v>156</v>
      </c>
      <c r="AL34" s="65" t="s">
        <v>156</v>
      </c>
      <c r="AM34" s="65" t="s">
        <v>156</v>
      </c>
      <c r="AN34" s="65" t="s">
        <v>156</v>
      </c>
      <c r="AO34" s="65" t="s">
        <v>156</v>
      </c>
      <c r="AP34" s="65" t="s">
        <v>156</v>
      </c>
      <c r="AQ34" s="65" t="s">
        <v>156</v>
      </c>
      <c r="AR34" s="65" t="s">
        <v>156</v>
      </c>
      <c r="AS34" s="65" t="s">
        <v>156</v>
      </c>
      <c r="AT34" s="65" t="s">
        <v>156</v>
      </c>
      <c r="AU34" s="65" t="s">
        <v>156</v>
      </c>
      <c r="AV34" s="65" t="s">
        <v>156</v>
      </c>
      <c r="AW34" s="65" t="s">
        <v>156</v>
      </c>
      <c r="AX34" s="65" t="s">
        <v>156</v>
      </c>
      <c r="AY34" s="65" t="s">
        <v>156</v>
      </c>
      <c r="AZ34" s="65" t="s">
        <v>156</v>
      </c>
      <c r="BA34" s="65" t="s">
        <v>156</v>
      </c>
      <c r="BB34" s="65" t="s">
        <v>156</v>
      </c>
      <c r="BC34" s="65" t="s">
        <v>156</v>
      </c>
      <c r="BD34" s="65" t="s">
        <v>156</v>
      </c>
      <c r="BE34" s="65" t="s">
        <v>156</v>
      </c>
      <c r="BF34" s="65" t="s">
        <v>156</v>
      </c>
      <c r="BG34" s="65" t="s">
        <v>156</v>
      </c>
      <c r="BH34" s="65" t="s">
        <v>156</v>
      </c>
      <c r="BI34" s="65" t="s">
        <v>156</v>
      </c>
      <c r="BJ34" s="65" t="s">
        <v>156</v>
      </c>
      <c r="BK34" s="65" t="s">
        <v>156</v>
      </c>
      <c r="BL34" s="65" t="s">
        <v>156</v>
      </c>
      <c r="BM34" s="65" t="s">
        <v>156</v>
      </c>
      <c r="BN34" s="65" t="s">
        <v>156</v>
      </c>
      <c r="BO34" s="65" t="s">
        <v>156</v>
      </c>
      <c r="BP34" s="65" t="s">
        <v>156</v>
      </c>
      <c r="BQ34" s="65" t="s">
        <v>156</v>
      </c>
      <c r="BR34" s="65" t="s">
        <v>156</v>
      </c>
      <c r="BS34" s="65" t="s">
        <v>156</v>
      </c>
      <c r="BT34" s="65" t="s">
        <v>156</v>
      </c>
      <c r="BU34" s="65" t="s">
        <v>156</v>
      </c>
    </row>
    <row r="35" spans="1:73" x14ac:dyDescent="0.25">
      <c r="A35" s="65" t="s">
        <v>180</v>
      </c>
      <c r="B35" s="65" t="s">
        <v>181</v>
      </c>
      <c r="C35" s="65">
        <v>12.241</v>
      </c>
      <c r="D35" s="65">
        <v>12.928000000000001</v>
      </c>
      <c r="E35" s="65">
        <v>12.906000000000001</v>
      </c>
      <c r="F35" s="65">
        <v>13.066000000000001</v>
      </c>
      <c r="G35" s="65">
        <v>13.991</v>
      </c>
      <c r="H35" s="65">
        <v>14.233000000000001</v>
      </c>
      <c r="I35" s="65">
        <v>14.404999999999999</v>
      </c>
      <c r="J35" s="65">
        <v>14.539</v>
      </c>
      <c r="K35" s="65">
        <v>14.787000000000001</v>
      </c>
      <c r="L35" s="65">
        <v>15.29</v>
      </c>
      <c r="M35" s="65">
        <v>15.797000000000001</v>
      </c>
      <c r="N35" s="65">
        <v>16.157</v>
      </c>
      <c r="O35" s="65">
        <v>16.379000000000001</v>
      </c>
      <c r="P35" s="65">
        <v>16.603000000000002</v>
      </c>
      <c r="Q35" s="65">
        <v>16.78</v>
      </c>
      <c r="R35" s="65">
        <v>16.986000000000001</v>
      </c>
      <c r="S35" s="65">
        <v>17.181999999999999</v>
      </c>
      <c r="T35" s="65">
        <v>17.443999999999999</v>
      </c>
      <c r="U35" s="65">
        <v>17.765000000000001</v>
      </c>
      <c r="V35" s="65">
        <v>18.263000000000002</v>
      </c>
      <c r="W35" s="65">
        <v>18.792999999999999</v>
      </c>
      <c r="X35" s="65">
        <v>19.594000000000001</v>
      </c>
      <c r="Y35" s="65">
        <v>20.553999999999998</v>
      </c>
      <c r="Z35" s="65">
        <v>21.638999999999999</v>
      </c>
      <c r="AA35" s="65">
        <v>22.738</v>
      </c>
      <c r="AB35" s="65">
        <v>23.721</v>
      </c>
      <c r="AC35" s="65">
        <v>25.024000000000001</v>
      </c>
      <c r="AD35" s="65">
        <v>27.271000000000001</v>
      </c>
      <c r="AE35" s="65">
        <v>29.8</v>
      </c>
      <c r="AF35" s="65">
        <v>31.446000000000002</v>
      </c>
      <c r="AG35" s="65">
        <v>33.401000000000003</v>
      </c>
      <c r="AH35" s="65">
        <v>35.752000000000002</v>
      </c>
      <c r="AI35" s="65">
        <v>38.719000000000001</v>
      </c>
      <c r="AJ35" s="65">
        <v>42.213000000000001</v>
      </c>
      <c r="AK35" s="65">
        <v>46.210999999999999</v>
      </c>
      <c r="AL35" s="65">
        <v>49.064999999999998</v>
      </c>
      <c r="AM35" s="65">
        <v>50.991999999999997</v>
      </c>
      <c r="AN35" s="65">
        <v>52.832000000000001</v>
      </c>
      <c r="AO35" s="65">
        <v>54.503</v>
      </c>
      <c r="AP35" s="65">
        <v>55.606000000000002</v>
      </c>
      <c r="AQ35" s="65">
        <v>56.997</v>
      </c>
      <c r="AR35" s="65">
        <v>59.01</v>
      </c>
      <c r="AS35" s="65">
        <v>61.33</v>
      </c>
      <c r="AT35" s="65">
        <v>63.637</v>
      </c>
      <c r="AU35" s="65">
        <v>65.801000000000002</v>
      </c>
      <c r="AV35" s="65">
        <v>67.299000000000007</v>
      </c>
      <c r="AW35" s="65">
        <v>68.891000000000005</v>
      </c>
      <c r="AX35" s="65">
        <v>70.36</v>
      </c>
      <c r="AY35" s="65">
        <v>71.843000000000004</v>
      </c>
      <c r="AZ35" s="65">
        <v>73.161000000000001</v>
      </c>
      <c r="BA35" s="65">
        <v>74.423000000000002</v>
      </c>
      <c r="BB35" s="65">
        <v>75.263000000000005</v>
      </c>
      <c r="BC35" s="65">
        <v>76.347999999999999</v>
      </c>
      <c r="BD35" s="65">
        <v>78.052999999999997</v>
      </c>
      <c r="BE35" s="65">
        <v>79.763999999999996</v>
      </c>
      <c r="BF35" s="65">
        <v>81.025999999999996</v>
      </c>
      <c r="BG35" s="65">
        <v>82.533000000000001</v>
      </c>
      <c r="BH35" s="65">
        <v>84.754000000000005</v>
      </c>
      <c r="BI35" s="65">
        <v>87.394999999999996</v>
      </c>
      <c r="BJ35" s="65">
        <v>90.040999999999997</v>
      </c>
      <c r="BK35" s="65">
        <v>92.46</v>
      </c>
      <c r="BL35" s="65">
        <v>94.268000000000001</v>
      </c>
      <c r="BM35" s="65">
        <v>94.997</v>
      </c>
      <c r="BN35" s="65">
        <v>96.102000000000004</v>
      </c>
      <c r="BO35" s="65">
        <v>98.117999999999995</v>
      </c>
      <c r="BP35" s="65">
        <v>100</v>
      </c>
      <c r="BQ35" s="65">
        <v>101.754</v>
      </c>
      <c r="BR35" s="65">
        <v>103.667</v>
      </c>
      <c r="BS35" s="65">
        <v>104.755</v>
      </c>
      <c r="BT35" s="65">
        <v>105.90300000000001</v>
      </c>
      <c r="BU35" s="65">
        <v>107.90300000000001</v>
      </c>
    </row>
  </sheetData>
  <mergeCells count="4">
    <mergeCell ref="A1:BU1"/>
    <mergeCell ref="A2:BU2"/>
    <mergeCell ref="A3:BU3"/>
    <mergeCell ref="A4:BU4"/>
  </mergeCells>
  <pageMargins left="0.75" right="0.75" top="1" bottom="1" header="0.5" footer="0.5"/>
  <pageSetup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70C0"/>
  </sheetPr>
  <dimension ref="A1:L46"/>
  <sheetViews>
    <sheetView workbookViewId="0">
      <selection activeCell="A50" sqref="A50"/>
    </sheetView>
  </sheetViews>
  <sheetFormatPr defaultColWidth="9.08984375" defaultRowHeight="14.5" x14ac:dyDescent="0.35"/>
  <cols>
    <col min="1" max="1" width="22.453125" style="19" customWidth="1"/>
    <col min="2" max="3" width="9.453125" style="19" bestFit="1" customWidth="1"/>
    <col min="4" max="4" width="9.81640625" style="19" bestFit="1" customWidth="1"/>
    <col min="5" max="5" width="10.1796875" style="19" bestFit="1" customWidth="1"/>
    <col min="6" max="6" width="4.81640625" style="19" customWidth="1"/>
    <col min="7" max="7" width="22.54296875" style="19" customWidth="1"/>
    <col min="8" max="9" width="9.1796875" style="19" bestFit="1" customWidth="1"/>
    <col min="10" max="10" width="9.81640625" style="19" bestFit="1" customWidth="1"/>
    <col min="11" max="11" width="10.08984375" style="19" bestFit="1" customWidth="1"/>
    <col min="12" max="12" width="9.1796875" style="19" customWidth="1"/>
    <col min="13" max="16384" width="9.08984375" style="19"/>
  </cols>
  <sheetData>
    <row r="1" spans="1:12" s="114" customFormat="1" ht="23.5" x14ac:dyDescent="0.55000000000000004">
      <c r="A1" s="114" t="s">
        <v>331</v>
      </c>
    </row>
    <row r="3" spans="1:12" ht="18.5" x14ac:dyDescent="0.45">
      <c r="A3" s="115" t="s">
        <v>332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</row>
    <row r="4" spans="1:12" x14ac:dyDescent="0.35">
      <c r="A4" s="331" t="s">
        <v>333</v>
      </c>
      <c r="B4" s="332"/>
      <c r="C4" s="332"/>
      <c r="D4" s="332"/>
      <c r="E4" s="333"/>
      <c r="F4" s="116"/>
      <c r="G4" s="116"/>
      <c r="H4" s="116"/>
      <c r="I4" s="116"/>
      <c r="J4" s="116"/>
      <c r="K4" s="116"/>
      <c r="L4" s="116"/>
    </row>
    <row r="5" spans="1:12" x14ac:dyDescent="0.35">
      <c r="A5" s="117" t="s">
        <v>334</v>
      </c>
      <c r="B5" s="118" t="s">
        <v>335</v>
      </c>
      <c r="C5" s="118" t="s">
        <v>336</v>
      </c>
      <c r="D5" s="118" t="s">
        <v>337</v>
      </c>
      <c r="E5" s="118" t="s">
        <v>338</v>
      </c>
      <c r="F5" s="116"/>
      <c r="G5" s="116"/>
      <c r="H5" s="116"/>
      <c r="I5" s="116"/>
      <c r="J5" s="116"/>
      <c r="K5" s="116"/>
      <c r="L5" s="116"/>
    </row>
    <row r="6" spans="1:12" x14ac:dyDescent="0.35">
      <c r="A6" s="117" t="s">
        <v>339</v>
      </c>
      <c r="B6" s="119">
        <v>1485.0040306744493</v>
      </c>
      <c r="C6" s="119">
        <v>1486.1476865589939</v>
      </c>
      <c r="D6" s="119">
        <v>1592.1159595294362</v>
      </c>
      <c r="E6" s="119">
        <v>1597.681215354813</v>
      </c>
      <c r="F6" s="116"/>
      <c r="G6" s="116"/>
      <c r="H6" s="116"/>
      <c r="I6" s="116"/>
      <c r="J6" s="116"/>
      <c r="K6" s="116"/>
      <c r="L6" s="116"/>
    </row>
    <row r="7" spans="1:12" x14ac:dyDescent="0.35">
      <c r="A7" s="117" t="s">
        <v>340</v>
      </c>
      <c r="B7" s="120">
        <v>0.88448944837642496</v>
      </c>
      <c r="C7" s="120">
        <v>0.93630380515226497</v>
      </c>
      <c r="D7" s="120">
        <v>0.98686949367578802</v>
      </c>
      <c r="E7" s="120">
        <v>0.96303462290875952</v>
      </c>
      <c r="F7" s="116"/>
      <c r="G7" s="116"/>
      <c r="H7" s="116"/>
      <c r="I7" s="116"/>
      <c r="J7" s="116"/>
      <c r="K7" s="116"/>
      <c r="L7" s="116"/>
    </row>
    <row r="8" spans="1:12" x14ac:dyDescent="0.35">
      <c r="A8" s="117" t="s">
        <v>341</v>
      </c>
      <c r="B8" s="120">
        <v>0.99530156272411752</v>
      </c>
      <c r="C8" s="120">
        <v>0.96294669220088491</v>
      </c>
      <c r="D8" s="120">
        <v>1.0473950047377549</v>
      </c>
      <c r="E8" s="120">
        <v>1.0718438097366949</v>
      </c>
      <c r="F8" s="116"/>
      <c r="G8" s="116"/>
      <c r="H8" s="116"/>
      <c r="I8" s="116"/>
      <c r="J8" s="116"/>
      <c r="K8" s="116"/>
      <c r="L8" s="116"/>
    </row>
    <row r="9" spans="1:12" x14ac:dyDescent="0.35">
      <c r="A9" s="117" t="s">
        <v>342</v>
      </c>
      <c r="B9" s="120">
        <v>0.1076863597881715</v>
      </c>
      <c r="C9" s="120">
        <v>0.108857389095979</v>
      </c>
      <c r="D9" s="120">
        <v>0.116630196296614</v>
      </c>
      <c r="E9" s="120">
        <v>0.11621650705011399</v>
      </c>
      <c r="F9" s="116"/>
      <c r="G9" s="116"/>
      <c r="H9" s="116"/>
      <c r="I9" s="116"/>
      <c r="J9" s="116"/>
      <c r="K9" s="116"/>
      <c r="L9" s="116"/>
    </row>
    <row r="10" spans="1:12" x14ac:dyDescent="0.35">
      <c r="A10" s="121" t="s">
        <v>343</v>
      </c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</row>
    <row r="11" spans="1:12" x14ac:dyDescent="0.35">
      <c r="A11" s="116"/>
      <c r="B11" s="116"/>
      <c r="C11" s="116"/>
      <c r="D11" s="116"/>
      <c r="E11" s="116"/>
      <c r="F11" s="116"/>
      <c r="G11" s="116"/>
      <c r="H11" s="116"/>
      <c r="I11" s="116"/>
      <c r="J11" s="116"/>
      <c r="K11" s="116"/>
      <c r="L11" s="116"/>
    </row>
    <row r="12" spans="1:12" s="123" customFormat="1" x14ac:dyDescent="0.35">
      <c r="A12" s="122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</row>
    <row r="13" spans="1:12" ht="18.5" x14ac:dyDescent="0.45">
      <c r="A13" s="115" t="s">
        <v>344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</row>
    <row r="14" spans="1:12" ht="15" customHeight="1" x14ac:dyDescent="0.35">
      <c r="A14" s="124" t="s">
        <v>345</v>
      </c>
      <c r="B14" s="125"/>
      <c r="C14" s="125"/>
      <c r="D14" s="125"/>
      <c r="E14" s="126"/>
      <c r="F14" s="116"/>
      <c r="G14" s="127" t="s">
        <v>346</v>
      </c>
      <c r="H14" s="125"/>
      <c r="I14" s="125"/>
      <c r="J14" s="125"/>
      <c r="K14" s="126"/>
      <c r="L14" s="116"/>
    </row>
    <row r="15" spans="1:12" ht="15" customHeight="1" x14ac:dyDescent="0.35">
      <c r="A15" s="117" t="s">
        <v>334</v>
      </c>
      <c r="B15" s="118" t="s">
        <v>335</v>
      </c>
      <c r="C15" s="118" t="s">
        <v>336</v>
      </c>
      <c r="D15" s="118" t="s">
        <v>337</v>
      </c>
      <c r="E15" s="118" t="s">
        <v>338</v>
      </c>
      <c r="F15" s="116"/>
      <c r="G15" s="117" t="s">
        <v>334</v>
      </c>
      <c r="H15" s="118" t="s">
        <v>335</v>
      </c>
      <c r="I15" s="118" t="s">
        <v>336</v>
      </c>
      <c r="J15" s="118" t="s">
        <v>337</v>
      </c>
      <c r="K15" s="118" t="s">
        <v>338</v>
      </c>
      <c r="L15" s="116"/>
    </row>
    <row r="16" spans="1:12" x14ac:dyDescent="0.35">
      <c r="A16" s="117" t="s">
        <v>53</v>
      </c>
      <c r="B16" s="119">
        <v>1057.4553862695191</v>
      </c>
      <c r="C16" s="119">
        <v>1074.6382785583721</v>
      </c>
      <c r="D16" s="119">
        <v>1163.2327940307741</v>
      </c>
      <c r="E16" s="119">
        <v>1140.2738774545749</v>
      </c>
      <c r="F16" s="116"/>
      <c r="G16" s="117" t="s">
        <v>53</v>
      </c>
      <c r="H16" s="120">
        <v>0.3688380930916435</v>
      </c>
      <c r="I16" s="120">
        <v>0.46304790497725051</v>
      </c>
      <c r="J16" s="120">
        <v>0.50656339606135403</v>
      </c>
      <c r="K16" s="120">
        <v>0.43103012510669703</v>
      </c>
      <c r="L16" s="116"/>
    </row>
    <row r="17" spans="1:12" ht="15" customHeight="1" x14ac:dyDescent="0.35">
      <c r="A17" s="117" t="s">
        <v>54</v>
      </c>
      <c r="B17" s="119">
        <v>1595.7181181210349</v>
      </c>
      <c r="C17" s="119">
        <v>1594.863799874156</v>
      </c>
      <c r="D17" s="119">
        <v>1712.437370719523</v>
      </c>
      <c r="E17" s="119">
        <v>1708.9405960199842</v>
      </c>
      <c r="F17" s="116"/>
      <c r="G17" s="117" t="s">
        <v>54</v>
      </c>
      <c r="H17" s="120">
        <v>0.93368554777331703</v>
      </c>
      <c r="I17" s="120">
        <v>0.94176702040941551</v>
      </c>
      <c r="J17" s="120">
        <v>1.00826035492195</v>
      </c>
      <c r="K17" s="120">
        <v>0.98590615073606291</v>
      </c>
      <c r="L17" s="116"/>
    </row>
    <row r="18" spans="1:12" x14ac:dyDescent="0.35">
      <c r="A18" s="117" t="s">
        <v>56</v>
      </c>
      <c r="B18" s="119">
        <v>1406.1319737750769</v>
      </c>
      <c r="C18" s="119">
        <v>1452.2498907980262</v>
      </c>
      <c r="D18" s="119">
        <v>1547.9528961608601</v>
      </c>
      <c r="E18" s="119">
        <v>1534.0757613618798</v>
      </c>
      <c r="F18" s="116"/>
      <c r="G18" s="117" t="s">
        <v>56</v>
      </c>
      <c r="H18" s="120">
        <v>0.82940036985772203</v>
      </c>
      <c r="I18" s="120">
        <v>0.95596597412263751</v>
      </c>
      <c r="J18" s="120">
        <v>0.97384622604077897</v>
      </c>
      <c r="K18" s="120">
        <v>0.93052642990953249</v>
      </c>
      <c r="L18" s="116"/>
    </row>
    <row r="19" spans="1:12" ht="15" customHeight="1" x14ac:dyDescent="0.35">
      <c r="A19" s="117" t="s">
        <v>60</v>
      </c>
      <c r="B19" s="119">
        <v>1746.9929833846697</v>
      </c>
      <c r="C19" s="119">
        <v>1667.0897412239101</v>
      </c>
      <c r="D19" s="119">
        <v>1808.5286278961239</v>
      </c>
      <c r="E19" s="119">
        <v>1855.1581119520231</v>
      </c>
      <c r="F19" s="116"/>
      <c r="G19" s="117" t="s">
        <v>60</v>
      </c>
      <c r="H19" s="120">
        <v>1.0995054540403799</v>
      </c>
      <c r="I19" s="120">
        <v>1.1651828484715598</v>
      </c>
      <c r="J19" s="120">
        <v>1.243942042823265</v>
      </c>
      <c r="K19" s="120">
        <v>1.202439471233435</v>
      </c>
      <c r="L19" s="116"/>
    </row>
    <row r="20" spans="1:12" ht="15" customHeight="1" x14ac:dyDescent="0.35">
      <c r="A20" s="117" t="s">
        <v>58</v>
      </c>
      <c r="B20" s="119">
        <v>1883.7751019760578</v>
      </c>
      <c r="C20" s="119">
        <v>1793.6120619663679</v>
      </c>
      <c r="D20" s="119">
        <v>1966.3559674496739</v>
      </c>
      <c r="E20" s="119">
        <v>2009.0045239781302</v>
      </c>
      <c r="F20" s="116"/>
      <c r="G20" s="117" t="s">
        <v>58</v>
      </c>
      <c r="H20" s="120">
        <v>1.306757150605625</v>
      </c>
      <c r="I20" s="120">
        <v>1.22795959629625</v>
      </c>
      <c r="J20" s="120">
        <v>1.3512295174146352</v>
      </c>
      <c r="K20" s="120">
        <v>1.3807234878788051</v>
      </c>
      <c r="L20" s="116"/>
    </row>
    <row r="21" spans="1:12" ht="15" customHeight="1" x14ac:dyDescent="0.35">
      <c r="A21" s="117" t="s">
        <v>63</v>
      </c>
      <c r="B21" s="119">
        <v>1612.3276920938993</v>
      </c>
      <c r="C21" s="119">
        <v>1562.3066010019588</v>
      </c>
      <c r="D21" s="119">
        <v>1702.0449547895012</v>
      </c>
      <c r="E21" s="119">
        <v>1737.8617011243109</v>
      </c>
      <c r="F21" s="116"/>
      <c r="G21" s="117" t="s">
        <v>63</v>
      </c>
      <c r="H21" s="120">
        <v>1.32861303801312</v>
      </c>
      <c r="I21" s="120">
        <v>1.2707768050604851</v>
      </c>
      <c r="J21" s="120">
        <v>1.3808958846265802</v>
      </c>
      <c r="K21" s="120">
        <v>1.42313617262887</v>
      </c>
      <c r="L21" s="116"/>
    </row>
    <row r="22" spans="1:12" x14ac:dyDescent="0.35">
      <c r="A22" s="117" t="s">
        <v>15</v>
      </c>
      <c r="B22" s="119">
        <v>1328.8234914949619</v>
      </c>
      <c r="C22" s="119">
        <v>1265.796578471165</v>
      </c>
      <c r="D22" s="119">
        <v>1361.0546201035011</v>
      </c>
      <c r="E22" s="119">
        <v>1395.1168885400018</v>
      </c>
      <c r="F22" s="116"/>
      <c r="G22" s="117" t="s">
        <v>15</v>
      </c>
      <c r="H22" s="120">
        <v>0.59965091068832543</v>
      </c>
      <c r="I22" s="120">
        <v>0.66306873579354852</v>
      </c>
      <c r="J22" s="120">
        <v>0.69413185655790843</v>
      </c>
      <c r="K22" s="120">
        <v>0.65331796964456301</v>
      </c>
      <c r="L22" s="116"/>
    </row>
    <row r="23" spans="1:12" x14ac:dyDescent="0.35">
      <c r="A23" s="117" t="s">
        <v>64</v>
      </c>
      <c r="B23" s="119">
        <v>1263.5777610927419</v>
      </c>
      <c r="C23" s="119">
        <v>1267.8517586500759</v>
      </c>
      <c r="D23" s="119">
        <v>1359.248887728266</v>
      </c>
      <c r="E23" s="119">
        <v>1364.842081706483</v>
      </c>
      <c r="F23" s="116"/>
      <c r="G23" s="117" t="s">
        <v>64</v>
      </c>
      <c r="H23" s="120">
        <v>0.89599419406358694</v>
      </c>
      <c r="I23" s="120">
        <v>0.93667676006906397</v>
      </c>
      <c r="J23" s="120">
        <v>1.0039525409637999</v>
      </c>
      <c r="K23" s="120">
        <v>0.98662668042475943</v>
      </c>
      <c r="L23" s="116"/>
    </row>
    <row r="24" spans="1:12" x14ac:dyDescent="0.35">
      <c r="A24" s="117" t="s">
        <v>66</v>
      </c>
      <c r="B24" s="119">
        <v>1558.2118606813808</v>
      </c>
      <c r="C24" s="119">
        <v>1591.091901244301</v>
      </c>
      <c r="D24" s="119">
        <v>1653.1618461582229</v>
      </c>
      <c r="E24" s="119">
        <v>1696.824328673566</v>
      </c>
      <c r="F24" s="116"/>
      <c r="G24" s="117" t="s">
        <v>66</v>
      </c>
      <c r="H24" s="120">
        <v>1.1820705863919101</v>
      </c>
      <c r="I24" s="120">
        <v>1.2226458247873899</v>
      </c>
      <c r="J24" s="120">
        <v>1.24497765039702</v>
      </c>
      <c r="K24" s="120">
        <v>1.2921949161865052</v>
      </c>
      <c r="L24" s="116"/>
    </row>
    <row r="25" spans="1:12" x14ac:dyDescent="0.35">
      <c r="A25" s="117" t="s">
        <v>67</v>
      </c>
      <c r="B25" s="119">
        <v>1033.5532829620822</v>
      </c>
      <c r="C25" s="119">
        <v>1050.9664640330373</v>
      </c>
      <c r="D25" s="119">
        <v>1136.1535828319329</v>
      </c>
      <c r="E25" s="119">
        <v>1127.3818341599081</v>
      </c>
      <c r="F25" s="116"/>
      <c r="G25" s="117" t="s">
        <v>67</v>
      </c>
      <c r="H25" s="120">
        <v>0.32188976023684351</v>
      </c>
      <c r="I25" s="120">
        <v>0.32072450324757995</v>
      </c>
      <c r="J25" s="120">
        <v>0.33173039412766248</v>
      </c>
      <c r="K25" s="120">
        <v>0.34487416228586054</v>
      </c>
      <c r="L25" s="116"/>
    </row>
    <row r="26" spans="1:12" ht="15" customHeight="1" x14ac:dyDescent="0.35">
      <c r="A26" s="116"/>
      <c r="B26" s="116"/>
      <c r="C26" s="116"/>
      <c r="D26" s="116"/>
      <c r="E26" s="116"/>
      <c r="F26" s="116"/>
      <c r="G26" s="116"/>
      <c r="H26" s="116"/>
      <c r="I26" s="116"/>
      <c r="J26" s="116"/>
      <c r="K26" s="116"/>
      <c r="L26" s="116"/>
    </row>
    <row r="27" spans="1:12" ht="15" customHeight="1" x14ac:dyDescent="0.35">
      <c r="A27" s="124" t="s">
        <v>347</v>
      </c>
      <c r="B27" s="125"/>
      <c r="C27" s="125"/>
      <c r="D27" s="125"/>
      <c r="E27" s="126"/>
      <c r="F27" s="116"/>
      <c r="G27" s="331" t="s">
        <v>348</v>
      </c>
      <c r="H27" s="332"/>
      <c r="I27" s="332"/>
      <c r="J27" s="332"/>
      <c r="K27" s="333"/>
      <c r="L27" s="116"/>
    </row>
    <row r="28" spans="1:12" x14ac:dyDescent="0.35">
      <c r="A28" s="117" t="s">
        <v>334</v>
      </c>
      <c r="B28" s="118" t="s">
        <v>335</v>
      </c>
      <c r="C28" s="118" t="s">
        <v>336</v>
      </c>
      <c r="D28" s="118" t="s">
        <v>337</v>
      </c>
      <c r="E28" s="118" t="s">
        <v>338</v>
      </c>
      <c r="F28" s="116"/>
      <c r="G28" s="117" t="s">
        <v>334</v>
      </c>
      <c r="H28" s="118" t="s">
        <v>335</v>
      </c>
      <c r="I28" s="118" t="s">
        <v>336</v>
      </c>
      <c r="J28" s="118" t="s">
        <v>337</v>
      </c>
      <c r="K28" s="118" t="s">
        <v>338</v>
      </c>
      <c r="L28" s="116"/>
    </row>
    <row r="29" spans="1:12" x14ac:dyDescent="0.35">
      <c r="A29" s="117" t="s">
        <v>53</v>
      </c>
      <c r="B29" s="120">
        <v>0.270004562433307</v>
      </c>
      <c r="C29" s="120">
        <v>0.30225502558576445</v>
      </c>
      <c r="D29" s="120">
        <v>0.3349645371145385</v>
      </c>
      <c r="E29" s="120">
        <v>0.28309122537265902</v>
      </c>
      <c r="F29" s="116"/>
      <c r="G29" s="117" t="s">
        <v>53</v>
      </c>
      <c r="H29" s="120">
        <v>4.0459534199957597E-2</v>
      </c>
      <c r="I29" s="120">
        <v>4.6048209063572154E-2</v>
      </c>
      <c r="J29" s="120">
        <v>4.9755479387913949E-2</v>
      </c>
      <c r="K29" s="120">
        <v>4.5166520502734703E-2</v>
      </c>
      <c r="L29" s="116"/>
    </row>
    <row r="30" spans="1:12" x14ac:dyDescent="0.35">
      <c r="A30" s="117" t="s">
        <v>54</v>
      </c>
      <c r="B30" s="120">
        <v>1.083690997048955</v>
      </c>
      <c r="C30" s="120">
        <v>1.196831764515925</v>
      </c>
      <c r="D30" s="120">
        <v>1.2800238877348051</v>
      </c>
      <c r="E30" s="120">
        <v>1.2549787840850701</v>
      </c>
      <c r="F30" s="116"/>
      <c r="G30" s="117" t="s">
        <v>54</v>
      </c>
      <c r="H30" s="120">
        <v>0.1964647478310535</v>
      </c>
      <c r="I30" s="120">
        <v>0.19533088480761951</v>
      </c>
      <c r="J30" s="120">
        <v>0.21077436898443552</v>
      </c>
      <c r="K30" s="120">
        <v>0.21038508533316702</v>
      </c>
      <c r="L30" s="116"/>
    </row>
    <row r="31" spans="1:12" x14ac:dyDescent="0.35">
      <c r="A31" s="117" t="s">
        <v>56</v>
      </c>
      <c r="B31" s="120">
        <v>0.73109713261569009</v>
      </c>
      <c r="C31" s="120">
        <v>0.74681947944894955</v>
      </c>
      <c r="D31" s="120">
        <v>0.7914408541362995</v>
      </c>
      <c r="E31" s="120">
        <v>0.788492001199248</v>
      </c>
      <c r="F31" s="116"/>
      <c r="G31" s="117" t="s">
        <v>56</v>
      </c>
      <c r="H31" s="120">
        <v>9.4770776419046493E-2</v>
      </c>
      <c r="I31" s="120">
        <v>0.1020015477818535</v>
      </c>
      <c r="J31" s="120">
        <v>0.106926489413422</v>
      </c>
      <c r="K31" s="120">
        <v>0.10451385980316499</v>
      </c>
      <c r="L31" s="116"/>
    </row>
    <row r="32" spans="1:12" x14ac:dyDescent="0.35">
      <c r="A32" s="117" t="s">
        <v>60</v>
      </c>
      <c r="B32" s="120">
        <v>1.8002605184063198</v>
      </c>
      <c r="C32" s="120">
        <v>1.6099725783979548</v>
      </c>
      <c r="D32" s="120">
        <v>1.7734073712906748</v>
      </c>
      <c r="E32" s="120">
        <v>1.8776048387896001</v>
      </c>
      <c r="F32" s="116"/>
      <c r="G32" s="117" t="s">
        <v>60</v>
      </c>
      <c r="H32" s="120">
        <v>9.2145949396086391E-2</v>
      </c>
      <c r="I32" s="120">
        <v>9.1555646624185597E-2</v>
      </c>
      <c r="J32" s="120">
        <v>9.8623059955572301E-2</v>
      </c>
      <c r="K32" s="120">
        <v>9.891248930513985E-2</v>
      </c>
      <c r="L32" s="116"/>
    </row>
    <row r="33" spans="1:12" x14ac:dyDescent="0.35">
      <c r="A33" s="117" t="s">
        <v>58</v>
      </c>
      <c r="B33" s="120">
        <v>1.93742550126075</v>
      </c>
      <c r="C33" s="120">
        <v>1.6732723835153349</v>
      </c>
      <c r="D33" s="120">
        <v>1.9100099079350099</v>
      </c>
      <c r="E33" s="120">
        <v>2.02860038682077</v>
      </c>
      <c r="F33" s="116"/>
      <c r="G33" s="117" t="s">
        <v>58</v>
      </c>
      <c r="H33" s="120">
        <v>9.1959042682420153E-2</v>
      </c>
      <c r="I33" s="120">
        <v>8.8227943198888603E-2</v>
      </c>
      <c r="J33" s="120">
        <v>9.6536188725867195E-2</v>
      </c>
      <c r="K33" s="120">
        <v>9.855173382644114E-2</v>
      </c>
      <c r="L33" s="116"/>
    </row>
    <row r="34" spans="1:12" x14ac:dyDescent="0.35">
      <c r="A34" s="117" t="s">
        <v>63</v>
      </c>
      <c r="B34" s="120">
        <v>0.57623640340238103</v>
      </c>
      <c r="C34" s="120">
        <v>0.51615788903807003</v>
      </c>
      <c r="D34" s="120">
        <v>0.56667879007440791</v>
      </c>
      <c r="E34" s="120">
        <v>0.60044089608265905</v>
      </c>
      <c r="F34" s="116"/>
      <c r="G34" s="117" t="s">
        <v>63</v>
      </c>
      <c r="H34" s="120">
        <v>3.2462086949150301E-2</v>
      </c>
      <c r="I34" s="120">
        <v>3.5378700568644852E-2</v>
      </c>
      <c r="J34" s="120">
        <v>3.7823576823414695E-2</v>
      </c>
      <c r="K34" s="120">
        <v>3.6387188497506745E-2</v>
      </c>
      <c r="L34" s="116"/>
    </row>
    <row r="35" spans="1:12" x14ac:dyDescent="0.35">
      <c r="A35" s="117" t="s">
        <v>15</v>
      </c>
      <c r="B35" s="120">
        <v>1.3069717093437001</v>
      </c>
      <c r="C35" s="120">
        <v>1.0461111444645801</v>
      </c>
      <c r="D35" s="120">
        <v>1.1770258199404551</v>
      </c>
      <c r="E35" s="120">
        <v>1.3172687069506199</v>
      </c>
      <c r="F35" s="116"/>
      <c r="G35" s="117" t="s">
        <v>15</v>
      </c>
      <c r="H35" s="120">
        <v>7.3035123472321745E-2</v>
      </c>
      <c r="I35" s="120">
        <v>6.7850130599451608E-2</v>
      </c>
      <c r="J35" s="120">
        <v>7.3690672440057947E-2</v>
      </c>
      <c r="K35" s="120">
        <v>7.633690172792984E-2</v>
      </c>
      <c r="L35" s="116"/>
    </row>
    <row r="36" spans="1:12" x14ac:dyDescent="0.35">
      <c r="A36" s="117" t="s">
        <v>64</v>
      </c>
      <c r="B36" s="120">
        <v>0.26597314935614152</v>
      </c>
      <c r="C36" s="120">
        <v>0.22040685167409502</v>
      </c>
      <c r="D36" s="120">
        <v>0.20063009423642</v>
      </c>
      <c r="E36" s="120">
        <v>0.2431762626984065</v>
      </c>
      <c r="F36" s="116"/>
      <c r="G36" s="117" t="s">
        <v>64</v>
      </c>
      <c r="H36" s="120">
        <v>7.2216754107128051E-2</v>
      </c>
      <c r="I36" s="120">
        <v>7.1024835476881792E-2</v>
      </c>
      <c r="J36" s="120">
        <v>7.3122602762430988E-2</v>
      </c>
      <c r="K36" s="120">
        <v>7.5400756039452455E-2</v>
      </c>
      <c r="L36" s="116"/>
    </row>
    <row r="37" spans="1:12" x14ac:dyDescent="0.35">
      <c r="A37" s="117" t="s">
        <v>66</v>
      </c>
      <c r="B37" s="120">
        <v>0.83152461007003298</v>
      </c>
      <c r="C37" s="120">
        <v>0.86283444272426701</v>
      </c>
      <c r="D37" s="120">
        <v>0.92641225456863352</v>
      </c>
      <c r="E37" s="120">
        <v>0.92228926104787101</v>
      </c>
      <c r="F37" s="116"/>
      <c r="G37" s="117" t="s">
        <v>66</v>
      </c>
      <c r="H37" s="120">
        <v>8.0453916616998147E-2</v>
      </c>
      <c r="I37" s="120">
        <v>8.1908378115209207E-2</v>
      </c>
      <c r="J37" s="120">
        <v>8.5284717150995559E-2</v>
      </c>
      <c r="K37" s="120">
        <v>8.775666425259375E-2</v>
      </c>
      <c r="L37" s="116"/>
    </row>
    <row r="38" spans="1:12" x14ac:dyDescent="0.35">
      <c r="A38" s="117" t="s">
        <v>67</v>
      </c>
      <c r="B38" s="120">
        <v>7.2325675591637148E-2</v>
      </c>
      <c r="C38" s="120">
        <v>6.8890034295074551E-2</v>
      </c>
      <c r="D38" s="120">
        <v>7.3865345551519551E-2</v>
      </c>
      <c r="E38" s="120">
        <v>7.7862708857230345E-2</v>
      </c>
      <c r="F38" s="116"/>
      <c r="G38" s="117" t="s">
        <v>67</v>
      </c>
      <c r="H38" s="120">
        <v>4.4136443399170049E-2</v>
      </c>
      <c r="I38" s="120">
        <v>4.5442244421623146E-2</v>
      </c>
      <c r="J38" s="120">
        <v>4.828204595316235E-2</v>
      </c>
      <c r="K38" s="120">
        <v>4.8109721685088105E-2</v>
      </c>
      <c r="L38" s="116"/>
    </row>
    <row r="40" spans="1:12" x14ac:dyDescent="0.35">
      <c r="A40" s="128" t="s">
        <v>349</v>
      </c>
    </row>
    <row r="41" spans="1:12" x14ac:dyDescent="0.35">
      <c r="A41" s="129" t="s">
        <v>350</v>
      </c>
    </row>
    <row r="42" spans="1:12" x14ac:dyDescent="0.35">
      <c r="A42" s="129" t="s">
        <v>351</v>
      </c>
    </row>
    <row r="43" spans="1:12" x14ac:dyDescent="0.35">
      <c r="A43" s="129" t="s">
        <v>352</v>
      </c>
    </row>
    <row r="46" spans="1:12" x14ac:dyDescent="0.35">
      <c r="A46" s="129" t="s">
        <v>360</v>
      </c>
    </row>
  </sheetData>
  <mergeCells count="2">
    <mergeCell ref="A4:E4"/>
    <mergeCell ref="G27:K2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5EFE7300DF1D48A6743FDA99716BDD" ma:contentTypeVersion="9" ma:contentTypeDescription="Create a new document." ma:contentTypeScope="" ma:versionID="9a75930ac3e8f62bd23b2612a374e1cd">
  <xsd:schema xmlns:xsd="http://www.w3.org/2001/XMLSchema" xmlns:xs="http://www.w3.org/2001/XMLSchema" xmlns:p="http://schemas.microsoft.com/office/2006/metadata/properties" xmlns:ns2="f9f57c23-21f3-45f8-bdeb-0f981712b784" xmlns:ns3="acc173d5-c08c-469e-94c2-c59d6dac1995" targetNamespace="http://schemas.microsoft.com/office/2006/metadata/properties" ma:root="true" ma:fieldsID="beaf89dfb63d56adeca36c8a525ee0a2" ns2:_="" ns3:_="">
    <xsd:import namespace="f9f57c23-21f3-45f8-bdeb-0f981712b784"/>
    <xsd:import namespace="acc173d5-c08c-469e-94c2-c59d6dac199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57c23-21f3-45f8-bdeb-0f981712b7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c173d5-c08c-469e-94c2-c59d6dac199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DB752C-8EFB-4280-87EA-334995A8C8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6796F8-963A-4397-AE5C-D958DF366F0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f9f57c23-21f3-45f8-bdeb-0f981712b784"/>
    <ds:schemaRef ds:uri="http://purl.org/dc/elements/1.1/"/>
    <ds:schemaRef ds:uri="http://schemas.microsoft.com/office/2006/metadata/properties"/>
    <ds:schemaRef ds:uri="acc173d5-c08c-469e-94c2-c59d6dac199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EACEBEB-4A4F-4366-B0E7-8D78277122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f57c23-21f3-45f8-bdeb-0f981712b784"/>
    <ds:schemaRef ds:uri="acc173d5-c08c-469e-94c2-c59d6dac19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</vt:i4>
      </vt:variant>
    </vt:vector>
  </HeadingPairs>
  <TitlesOfParts>
    <vt:vector size="68" baseType="lpstr">
      <vt:lpstr>Benefits_Interface</vt:lpstr>
      <vt:lpstr>Canopy Cover Benefit</vt:lpstr>
      <vt:lpstr>Green Roof Benefit</vt:lpstr>
      <vt:lpstr>EnergySavings by State</vt:lpstr>
      <vt:lpstr>AvoidedEmissions_UCTrees</vt:lpstr>
      <vt:lpstr>ElectricityPriceByState</vt:lpstr>
      <vt:lpstr>BenefitPerTon_Regression</vt:lpstr>
      <vt:lpstr>SCC_Regression</vt:lpstr>
      <vt:lpstr>GDP Implicit Price Deflator</vt:lpstr>
      <vt:lpstr>AVERT_2017</vt:lpstr>
      <vt:lpstr>A_GreenRoof</vt:lpstr>
      <vt:lpstr>A_GreenSpace</vt:lpstr>
      <vt:lpstr>A_TreeCover</vt:lpstr>
      <vt:lpstr>Alum_Savings</vt:lpstr>
      <vt:lpstr>AlumCost</vt:lpstr>
      <vt:lpstr>AVERT</vt:lpstr>
      <vt:lpstr>AVERT_EF</vt:lpstr>
      <vt:lpstr>AVERTReg</vt:lpstr>
      <vt:lpstr>Bio_Basin</vt:lpstr>
      <vt:lpstr>BslnTNWTP</vt:lpstr>
      <vt:lpstr>BslnTPWTP</vt:lpstr>
      <vt:lpstr>BslnTreat</vt:lpstr>
      <vt:lpstr>BslnTSSWTP</vt:lpstr>
      <vt:lpstr>CC_Lower</vt:lpstr>
      <vt:lpstr>CC_Upper</vt:lpstr>
      <vt:lpstr>Central</vt:lpstr>
      <vt:lpstr>CoBenRun</vt:lpstr>
      <vt:lpstr>Data_Freq</vt:lpstr>
      <vt:lpstr>DollarYear</vt:lpstr>
      <vt:lpstr>DomSCC</vt:lpstr>
      <vt:lpstr>DR_Tree</vt:lpstr>
      <vt:lpstr>DR_Tree1</vt:lpstr>
      <vt:lpstr>DR_Tree2</vt:lpstr>
      <vt:lpstr>ElecPrice</vt:lpstr>
      <vt:lpstr>GlobalSCC</vt:lpstr>
      <vt:lpstr>GR_Lower</vt:lpstr>
      <vt:lpstr>GR_Upper</vt:lpstr>
      <vt:lpstr>Grass_Swale</vt:lpstr>
      <vt:lpstr>Gravel_Wet</vt:lpstr>
      <vt:lpstr>Green_Roof</vt:lpstr>
      <vt:lpstr>GREnergy</vt:lpstr>
      <vt:lpstr>HRU_Name</vt:lpstr>
      <vt:lpstr>HRU_Name2</vt:lpstr>
      <vt:lpstr>HUC12Start</vt:lpstr>
      <vt:lpstr>Land_Cons</vt:lpstr>
      <vt:lpstr>Land_Cons1</vt:lpstr>
      <vt:lpstr>Land_Cons2</vt:lpstr>
      <vt:lpstr>MngdTreat</vt:lpstr>
      <vt:lpstr>NHUC12</vt:lpstr>
      <vt:lpstr>Northeast</vt:lpstr>
      <vt:lpstr>OpenSpaceBB</vt:lpstr>
      <vt:lpstr>OpenSpaceDR</vt:lpstr>
      <vt:lpstr>OpenSpaceGS</vt:lpstr>
      <vt:lpstr>OpenSpaceGW</vt:lpstr>
      <vt:lpstr>OpenSpaceRB</vt:lpstr>
      <vt:lpstr>Pop_Dens</vt:lpstr>
      <vt:lpstr>Rec</vt:lpstr>
      <vt:lpstr>Rip_Buff</vt:lpstr>
      <vt:lpstr>Rip_Buff1</vt:lpstr>
      <vt:lpstr>Rip_Buff2</vt:lpstr>
      <vt:lpstr>ScenTNWTP</vt:lpstr>
      <vt:lpstr>ScenTPWTP</vt:lpstr>
      <vt:lpstr>ScenTSSWTP</vt:lpstr>
      <vt:lpstr>South</vt:lpstr>
      <vt:lpstr>Total_HPBenefits</vt:lpstr>
      <vt:lpstr>TurbRatio</vt:lpstr>
      <vt:lpstr>Wetland</vt:lpstr>
      <vt:lpstr>WTP_Value</vt:lpstr>
    </vt:vector>
  </TitlesOfParts>
  <Manager/>
  <Company>Abt Associates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Liz Mettetal</dc:creator>
  <cp:keywords/>
  <dc:description/>
  <cp:lastModifiedBy>Le, Alyssa</cp:lastModifiedBy>
  <cp:revision/>
  <dcterms:created xsi:type="dcterms:W3CDTF">2018-09-19T15:18:14Z</dcterms:created>
  <dcterms:modified xsi:type="dcterms:W3CDTF">2020-02-24T16:29:11Z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0x0101000B5EFE7300DF1D48A6743FDA99716BDD</vt:lpwstr>
  </property>
  <property fmtid="{D5CDD505-2E9C-101B-9397-08002B2CF9AE}" pid="3" name="Order">
    <vt:r8>43600</vt:r8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</Properties>
</file>