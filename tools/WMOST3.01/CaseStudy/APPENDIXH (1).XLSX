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WMOST\WMOSTCaseStudies\R3MD_MontgomeryCo\FinalReport\ORDReviewCopies\"/>
    </mc:Choice>
  </mc:AlternateContent>
  <xr:revisionPtr revIDLastSave="0" documentId="8_{A3932BA4-DCA5-4102-A299-88C3684723B1}" xr6:coauthVersionLast="41" xr6:coauthVersionMax="41" xr10:uidLastSave="{00000000-0000-0000-0000-000000000000}"/>
  <bookViews>
    <workbookView xWindow="27345" yWindow="690" windowWidth="22710" windowHeight="14295" xr2:uid="{3F88D9D0-200A-49DD-BAF8-30C739889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" l="1"/>
  <c r="G14" i="1"/>
  <c r="I32" i="1"/>
  <c r="I31" i="1"/>
  <c r="I30" i="1"/>
  <c r="I29" i="1"/>
  <c r="I28" i="1"/>
  <c r="I27" i="1"/>
  <c r="I26" i="1"/>
  <c r="I25" i="1"/>
  <c r="I24" i="1"/>
  <c r="I23" i="1"/>
  <c r="I22" i="1"/>
  <c r="I21" i="1"/>
  <c r="I6" i="1"/>
  <c r="I13" i="1"/>
  <c r="I10" i="1"/>
  <c r="I19" i="1"/>
  <c r="I18" i="1"/>
  <c r="I9" i="1"/>
  <c r="I12" i="1"/>
  <c r="I8" i="1"/>
  <c r="I17" i="1"/>
  <c r="I16" i="1"/>
</calcChain>
</file>

<file path=xl/sharedStrings.xml><?xml version="1.0" encoding="utf-8"?>
<sst xmlns="http://schemas.openxmlformats.org/spreadsheetml/2006/main" count="141" uniqueCount="86">
  <si>
    <t>Upper Pocomoke</t>
  </si>
  <si>
    <t>Worcester</t>
  </si>
  <si>
    <t>Wicomico</t>
  </si>
  <si>
    <t>Lower Monacacy</t>
  </si>
  <si>
    <t>Frederick</t>
  </si>
  <si>
    <t>Montgomery</t>
  </si>
  <si>
    <t>Bynum Run</t>
  </si>
  <si>
    <t>Harford</t>
  </si>
  <si>
    <t>Jones Falls</t>
  </si>
  <si>
    <t>Baltimore</t>
  </si>
  <si>
    <t>Baltimore City</t>
  </si>
  <si>
    <t>Gwynns Falls</t>
  </si>
  <si>
    <t>Patapsco River LNB</t>
  </si>
  <si>
    <t>Howard</t>
  </si>
  <si>
    <t>Patuxent R U</t>
  </si>
  <si>
    <t>Anne Arundel</t>
  </si>
  <si>
    <t>Prince Georges</t>
  </si>
  <si>
    <t>L Patuxent</t>
  </si>
  <si>
    <t>Potomac R</t>
  </si>
  <si>
    <t>Rock Creek</t>
  </si>
  <si>
    <t>Cabin John Cr</t>
  </si>
  <si>
    <t>Seneca Creek</t>
  </si>
  <si>
    <t>Upper Monocacy</t>
  </si>
  <si>
    <t>Carroll</t>
  </si>
  <si>
    <t>Double Pipe Creek</t>
  </si>
  <si>
    <t>Catoctin Cr</t>
  </si>
  <si>
    <t>Potomac R WC</t>
  </si>
  <si>
    <t>Washington</t>
  </si>
  <si>
    <t>Antietam Cr</t>
  </si>
  <si>
    <t>Conococheague Cr</t>
  </si>
  <si>
    <t>Evitts Cr</t>
  </si>
  <si>
    <t>Allegheny</t>
  </si>
  <si>
    <t>Wills Cr</t>
  </si>
  <si>
    <t>Georges Cr</t>
  </si>
  <si>
    <t>Garrett</t>
  </si>
  <si>
    <t>Youghiogheny R</t>
  </si>
  <si>
    <t>L Youghiogheny</t>
  </si>
  <si>
    <t>Clopper Lake</t>
  </si>
  <si>
    <t>Big Millpond</t>
  </si>
  <si>
    <t>Centennial Lake</t>
  </si>
  <si>
    <t>Anacostia</t>
  </si>
  <si>
    <t>Rocky Gorge and Triadelphia Reservoirs</t>
  </si>
  <si>
    <t>Loch Raven Reservoir</t>
  </si>
  <si>
    <t>Johnson Pond</t>
  </si>
  <si>
    <t>Tony Tank</t>
  </si>
  <si>
    <t>Lake Linganore</t>
  </si>
  <si>
    <t>Adkins Pond</t>
  </si>
  <si>
    <t>Urieville Lake</t>
  </si>
  <si>
    <t>Kent</t>
  </si>
  <si>
    <t>Liberty Reservoir</t>
  </si>
  <si>
    <t>TSS TMDL</t>
  </si>
  <si>
    <t>County1</t>
  </si>
  <si>
    <t>County2</t>
  </si>
  <si>
    <t>non-tidal</t>
  </si>
  <si>
    <t>minor univ</t>
  </si>
  <si>
    <t>urban</t>
  </si>
  <si>
    <t>cropland</t>
  </si>
  <si>
    <t>minor local wwtp</t>
  </si>
  <si>
    <t>one water reclamation + addl minor wwtp</t>
  </si>
  <si>
    <t>1 non-tidal/4 tidal</t>
  </si>
  <si>
    <t>minor wwtp; most stormwater unregulated</t>
  </si>
  <si>
    <t>minor wwtps</t>
  </si>
  <si>
    <t>plus minor wwtps</t>
  </si>
  <si>
    <t>upstream PS from Double Pipe and PA</t>
  </si>
  <si>
    <t>WTPs</t>
  </si>
  <si>
    <t>tidal, non-tidal</t>
  </si>
  <si>
    <t>17-26% connected imperv for nontidal</t>
  </si>
  <si>
    <t>Anne Arundel, Prince Georges</t>
  </si>
  <si>
    <t># WWTP</t>
  </si>
  <si>
    <t>minor</t>
  </si>
  <si>
    <t>minor WWTP, minor WTP</t>
  </si>
  <si>
    <t>CSO</t>
  </si>
  <si>
    <t>minor, 1 WTP</t>
  </si>
  <si>
    <t>1 major, + 2 CSO, 1 WTP</t>
  </si>
  <si>
    <t>Riverine Systems</t>
  </si>
  <si>
    <t>Riverine Systems Most Similar to Cabin John Creek</t>
  </si>
  <si>
    <t>Riverine Systems Similar to Cabin John Creek but with WWTP discharges</t>
  </si>
  <si>
    <t>Other Riverine Systems</t>
  </si>
  <si>
    <t>Lakes and Reservoirs</t>
  </si>
  <si>
    <t>Notes</t>
  </si>
  <si>
    <t>1 WTP</t>
  </si>
  <si>
    <t>Percent</t>
  </si>
  <si>
    <t>urban pervious</t>
  </si>
  <si>
    <t>urban impervious</t>
  </si>
  <si>
    <t>%imp/%perv</t>
  </si>
  <si>
    <t>Appendix H.   Maryland watersheds with TMDLs for total Suspended Solids.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</si>
</sst>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10" fontId="0" fillId="0" borderId="0" xfId="0" applyNumberFormat="1" applyFill="1"/>
    <xf numFmtId="2" fontId="0" fillId="0" borderId="0" xfId="0" applyNumberFormat="1" applyFill="1"/>
    <xf numFmtId="0" fontId="2" fillId="0" borderId="0" xfId="0" applyFont="1" applyFill="1"/>
    <xf numFmtId="0" fontId="1" fillId="0" borderId="1" xfId="0" applyFont="1" applyBorder="1"/>
    <xf numFmtId="10" fontId="1" fillId="0" borderId="1" xfId="0" applyNumberFormat="1" applyFont="1" applyBorder="1"/>
    <xf numFmtId="0" fontId="4" fillId="0" borderId="0" xfId="0" applyFont="1" applyFill="1"/>
    <xf numFmtId="0" fontId="0" fillId="0" borderId="0" xfId="0" applyFont="1"/>
    <xf numFmtId="0" fontId="1" fillId="0" borderId="0" xfId="0" applyFont="1" applyFill="1"/>
    <xf numFmtId="0" fontId="3" fillId="0" borderId="0" xfId="0" applyFont="1" applyFill="1"/>
    <xf numFmtId="10" fontId="1" fillId="0" borderId="0" xfId="0" applyNumberFormat="1" applyFont="1" applyFill="1"/>
    <xf numFmtId="2" fontId="1" fillId="0" borderId="0" xfId="0" applyNumberFormat="1" applyFont="1" applyFill="1"/>
    <xf numFmtId="0" fontId="1" fillId="0" borderId="0" xfId="0" applyFont="1" applyFill="1" applyBorder="1"/>
    <xf numFmtId="10" fontId="1" fillId="0" borderId="0" xfId="0" applyNumberFormat="1" applyFont="1" applyFill="1" applyBorder="1"/>
    <xf numFmtId="0" fontId="0" fillId="0" borderId="1" xfId="0" applyFill="1" applyBorder="1"/>
    <xf numFmtId="0" fontId="2" fillId="0" borderId="1" xfId="0" applyFont="1" applyFill="1" applyBorder="1"/>
    <xf numFmtId="10" fontId="0" fillId="0" borderId="1" xfId="0" applyNumberFormat="1" applyFill="1" applyBorder="1"/>
    <xf numFmtId="2" fontId="0" fillId="0" borderId="1" xfId="0" applyNumberFormat="1" applyFill="1" applyBorder="1"/>
    <xf numFmtId="0" fontId="0" fillId="0" borderId="1" xfId="0" applyFont="1" applyFill="1" applyBorder="1"/>
    <xf numFmtId="10" fontId="0" fillId="0" borderId="1" xfId="0" applyNumberFormat="1" applyFont="1" applyFill="1" applyBorder="1"/>
    <xf numFmtId="2" fontId="0" fillId="0" borderId="1" xfId="0" applyNumberFormat="1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6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731C-2822-4860-BA77-39A44F601067}">
  <dimension ref="A1:K44"/>
  <sheetViews>
    <sheetView tabSelected="1" workbookViewId="0">
      <selection activeCell="A2" sqref="A2"/>
    </sheetView>
  </sheetViews>
  <sheetFormatPr defaultRowHeight="15" x14ac:dyDescent="0.25"/>
  <cols>
    <col min="1" max="1" width="31.85546875" customWidth="1"/>
    <col min="3" max="3" width="15.5703125" customWidth="1"/>
    <col min="4" max="4" width="16.85546875" customWidth="1"/>
    <col min="7" max="7" width="15.7109375" customWidth="1"/>
    <col min="8" max="8" width="17.85546875" customWidth="1"/>
    <col min="9" max="9" width="13.85546875" customWidth="1"/>
    <col min="11" max="11" width="38.7109375" customWidth="1"/>
  </cols>
  <sheetData>
    <row r="1" spans="1:11" x14ac:dyDescent="0.25">
      <c r="A1" t="s">
        <v>85</v>
      </c>
    </row>
    <row r="3" spans="1:11" x14ac:dyDescent="0.25">
      <c r="F3" s="25" t="s">
        <v>81</v>
      </c>
      <c r="G3" s="25" t="s">
        <v>81</v>
      </c>
      <c r="H3" s="25" t="s">
        <v>81</v>
      </c>
      <c r="I3" s="25"/>
      <c r="J3" s="25" t="s">
        <v>81</v>
      </c>
    </row>
    <row r="4" spans="1:11" x14ac:dyDescent="0.25">
      <c r="A4" s="5" t="s">
        <v>50</v>
      </c>
      <c r="B4" s="5" t="s">
        <v>51</v>
      </c>
      <c r="C4" s="5" t="s">
        <v>52</v>
      </c>
      <c r="D4" s="5"/>
      <c r="E4" s="5" t="s">
        <v>68</v>
      </c>
      <c r="F4" s="5" t="s">
        <v>55</v>
      </c>
      <c r="G4" s="6" t="s">
        <v>82</v>
      </c>
      <c r="H4" s="6" t="s">
        <v>83</v>
      </c>
      <c r="I4" s="6" t="s">
        <v>84</v>
      </c>
      <c r="J4" s="5" t="s">
        <v>56</v>
      </c>
      <c r="K4" s="5" t="s">
        <v>79</v>
      </c>
    </row>
    <row r="5" spans="1:11" x14ac:dyDescent="0.25">
      <c r="A5" s="22" t="s">
        <v>74</v>
      </c>
      <c r="B5" s="13"/>
      <c r="C5" s="13"/>
      <c r="D5" s="13"/>
      <c r="E5" s="13"/>
      <c r="F5" s="13"/>
      <c r="G5" s="14"/>
      <c r="H5" s="14"/>
      <c r="I5" s="14"/>
      <c r="J5" s="13"/>
      <c r="K5" s="1"/>
    </row>
    <row r="6" spans="1:11" s="8" customFormat="1" x14ac:dyDescent="0.25">
      <c r="A6" s="19" t="s">
        <v>20</v>
      </c>
      <c r="B6" s="19" t="s">
        <v>5</v>
      </c>
      <c r="C6" s="19"/>
      <c r="D6" s="16" t="s">
        <v>53</v>
      </c>
      <c r="E6" s="19">
        <v>0</v>
      </c>
      <c r="F6" s="20">
        <v>0.90400000000000003</v>
      </c>
      <c r="G6" s="20">
        <v>0.73299999999999998</v>
      </c>
      <c r="H6" s="20">
        <v>0.16899999999999998</v>
      </c>
      <c r="I6" s="21">
        <f>H6/(H6+G6)</f>
        <v>0.18736141906873613</v>
      </c>
      <c r="J6" s="19">
        <v>0.6</v>
      </c>
      <c r="K6" s="19"/>
    </row>
    <row r="7" spans="1:11" s="9" customFormat="1" x14ac:dyDescent="0.25">
      <c r="A7" s="23" t="s">
        <v>75</v>
      </c>
      <c r="D7" s="10"/>
      <c r="F7" s="11"/>
      <c r="G7" s="11"/>
      <c r="H7" s="11"/>
      <c r="I7" s="12"/>
    </row>
    <row r="8" spans="1:11" x14ac:dyDescent="0.25">
      <c r="A8" s="1" t="s">
        <v>6</v>
      </c>
      <c r="B8" s="1" t="s">
        <v>7</v>
      </c>
      <c r="C8" s="1"/>
      <c r="D8" s="4" t="s">
        <v>53</v>
      </c>
      <c r="E8" s="1">
        <v>0</v>
      </c>
      <c r="F8" s="2">
        <v>0.71199999999999997</v>
      </c>
      <c r="G8" s="2">
        <v>0.60899999999999999</v>
      </c>
      <c r="H8" s="2">
        <v>9.7000000000000003E-2</v>
      </c>
      <c r="I8" s="3">
        <f>H8/(H8+G8)</f>
        <v>0.13739376770538245</v>
      </c>
      <c r="J8" s="1">
        <v>7</v>
      </c>
      <c r="K8" s="1"/>
    </row>
    <row r="9" spans="1:11" x14ac:dyDescent="0.25">
      <c r="A9" s="1" t="s">
        <v>11</v>
      </c>
      <c r="B9" s="1" t="s">
        <v>9</v>
      </c>
      <c r="C9" s="1" t="s">
        <v>10</v>
      </c>
      <c r="D9" s="4" t="s">
        <v>53</v>
      </c>
      <c r="E9" s="1">
        <v>0</v>
      </c>
      <c r="F9" s="2">
        <v>0.875</v>
      </c>
      <c r="G9" s="2">
        <v>0.54</v>
      </c>
      <c r="H9" s="2">
        <v>0.32700000000000001</v>
      </c>
      <c r="I9" s="3">
        <f>H9/(H9+G9)</f>
        <v>0.37716262975778547</v>
      </c>
      <c r="J9" s="1">
        <v>2.7</v>
      </c>
      <c r="K9" s="1" t="s">
        <v>80</v>
      </c>
    </row>
    <row r="10" spans="1:11" x14ac:dyDescent="0.25">
      <c r="A10" s="15" t="s">
        <v>18</v>
      </c>
      <c r="B10" s="15" t="s">
        <v>5</v>
      </c>
      <c r="C10" s="15"/>
      <c r="D10" s="16" t="s">
        <v>53</v>
      </c>
      <c r="E10" s="15">
        <v>0</v>
      </c>
      <c r="F10" s="17">
        <v>0.93200000000000005</v>
      </c>
      <c r="G10" s="17">
        <v>0.34799999999999998</v>
      </c>
      <c r="H10" s="17">
        <v>6.9000000000000006E-2</v>
      </c>
      <c r="I10" s="18">
        <f>H10/(H10+G10)</f>
        <v>0.1654676258992806</v>
      </c>
      <c r="J10" s="15">
        <v>0</v>
      </c>
      <c r="K10" s="15" t="s">
        <v>61</v>
      </c>
    </row>
    <row r="11" spans="1:11" x14ac:dyDescent="0.25">
      <c r="A11" s="23" t="s">
        <v>76</v>
      </c>
      <c r="B11" s="1"/>
      <c r="C11" s="1"/>
      <c r="D11" s="4"/>
      <c r="E11" s="1"/>
      <c r="F11" s="2"/>
      <c r="G11" s="2"/>
      <c r="H11" s="2"/>
      <c r="I11" s="3"/>
      <c r="J11" s="1"/>
      <c r="K11" s="1"/>
    </row>
    <row r="12" spans="1:11" x14ac:dyDescent="0.25">
      <c r="A12" s="1" t="s">
        <v>8</v>
      </c>
      <c r="B12" s="1" t="s">
        <v>9</v>
      </c>
      <c r="C12" s="1" t="s">
        <v>10</v>
      </c>
      <c r="D12" s="4" t="s">
        <v>53</v>
      </c>
      <c r="E12" s="1">
        <v>1</v>
      </c>
      <c r="F12" s="2">
        <v>0.73899999999999999</v>
      </c>
      <c r="G12" s="2">
        <v>0.53500000000000003</v>
      </c>
      <c r="H12" s="2">
        <v>0.20200000000000001</v>
      </c>
      <c r="I12" s="3">
        <f>H12/(H12+G12)</f>
        <v>0.27408412483039346</v>
      </c>
      <c r="J12" s="1">
        <v>2.7</v>
      </c>
      <c r="K12" s="1" t="s">
        <v>54</v>
      </c>
    </row>
    <row r="13" spans="1:11" x14ac:dyDescent="0.25">
      <c r="A13" s="1" t="s">
        <v>19</v>
      </c>
      <c r="B13" s="1" t="s">
        <v>5</v>
      </c>
      <c r="C13" s="1"/>
      <c r="D13" s="4" t="s">
        <v>53</v>
      </c>
      <c r="E13" s="9">
        <v>1</v>
      </c>
      <c r="F13" s="2">
        <v>0.79799999999999993</v>
      </c>
      <c r="G13" s="2">
        <v>0.59899999999999998</v>
      </c>
      <c r="H13" s="2">
        <v>0.19399999999999998</v>
      </c>
      <c r="I13" s="3">
        <f>H13/(H13+G13)</f>
        <v>0.24464060529634299</v>
      </c>
      <c r="J13" s="1">
        <v>3.4</v>
      </c>
      <c r="K13" s="1"/>
    </row>
    <row r="14" spans="1:11" x14ac:dyDescent="0.25">
      <c r="A14" s="15" t="s">
        <v>40</v>
      </c>
      <c r="B14" s="15" t="s">
        <v>5</v>
      </c>
      <c r="C14" s="15" t="s">
        <v>67</v>
      </c>
      <c r="D14" s="15" t="s">
        <v>65</v>
      </c>
      <c r="E14" s="15">
        <v>2</v>
      </c>
      <c r="F14" s="15">
        <v>75</v>
      </c>
      <c r="G14" s="15">
        <f>0.78*F14</f>
        <v>58.5</v>
      </c>
      <c r="H14" s="15">
        <f>0.22*F14</f>
        <v>16.5</v>
      </c>
      <c r="I14" s="15">
        <v>0.22</v>
      </c>
      <c r="J14" s="15">
        <v>5</v>
      </c>
      <c r="K14" s="15" t="s">
        <v>66</v>
      </c>
    </row>
    <row r="15" spans="1:11" x14ac:dyDescent="0.25">
      <c r="A15" s="23" t="s">
        <v>77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 t="s">
        <v>0</v>
      </c>
      <c r="B16" s="1" t="s">
        <v>1</v>
      </c>
      <c r="C16" s="1" t="s">
        <v>2</v>
      </c>
      <c r="D16" s="4" t="s">
        <v>53</v>
      </c>
      <c r="E16" s="1">
        <v>2</v>
      </c>
      <c r="F16" s="2">
        <v>5.7000000000000002E-2</v>
      </c>
      <c r="G16" s="1">
        <v>2.4</v>
      </c>
      <c r="H16" s="1">
        <v>1.3</v>
      </c>
      <c r="I16" s="3">
        <f t="shared" ref="I16:I19" si="0">H16/(H16+G16)</f>
        <v>0.35135135135135137</v>
      </c>
      <c r="J16" s="2">
        <v>0.28899999999999998</v>
      </c>
      <c r="K16" s="1"/>
    </row>
    <row r="17" spans="1:11" x14ac:dyDescent="0.25">
      <c r="A17" s="1" t="s">
        <v>3</v>
      </c>
      <c r="B17" s="1" t="s">
        <v>4</v>
      </c>
      <c r="C17" s="1" t="s">
        <v>5</v>
      </c>
      <c r="D17" s="4" t="s">
        <v>53</v>
      </c>
      <c r="E17" s="1">
        <v>11</v>
      </c>
      <c r="F17" s="1">
        <v>31.7</v>
      </c>
      <c r="G17" s="1">
        <v>25.3</v>
      </c>
      <c r="H17" s="1">
        <v>6</v>
      </c>
      <c r="I17" s="3">
        <f t="shared" si="0"/>
        <v>0.19169329073482427</v>
      </c>
      <c r="J17" s="1">
        <v>25.8</v>
      </c>
      <c r="K17" s="1"/>
    </row>
    <row r="18" spans="1:11" x14ac:dyDescent="0.25">
      <c r="A18" s="1" t="s">
        <v>12</v>
      </c>
      <c r="B18" s="1" t="s">
        <v>9</v>
      </c>
      <c r="C18" s="1" t="s">
        <v>13</v>
      </c>
      <c r="D18" s="4" t="s">
        <v>53</v>
      </c>
      <c r="E18" s="1">
        <v>1</v>
      </c>
      <c r="F18" s="2">
        <v>0.59200000000000008</v>
      </c>
      <c r="G18" s="2">
        <v>0.433</v>
      </c>
      <c r="H18" s="2">
        <v>0.158</v>
      </c>
      <c r="I18" s="3">
        <f t="shared" si="0"/>
        <v>0.2673434856175973</v>
      </c>
      <c r="J18" s="1">
        <v>4.5999999999999996</v>
      </c>
      <c r="K18" s="1" t="s">
        <v>57</v>
      </c>
    </row>
    <row r="19" spans="1:11" x14ac:dyDescent="0.25">
      <c r="A19" s="1" t="s">
        <v>14</v>
      </c>
      <c r="B19" s="1" t="s">
        <v>15</v>
      </c>
      <c r="C19" s="1" t="s">
        <v>16</v>
      </c>
      <c r="D19" s="4" t="s">
        <v>53</v>
      </c>
      <c r="E19" s="1">
        <v>3</v>
      </c>
      <c r="F19" s="2">
        <v>0.40500000000000003</v>
      </c>
      <c r="G19" s="2">
        <v>0.30299999999999999</v>
      </c>
      <c r="H19" s="2">
        <v>9.6999999999999989E-2</v>
      </c>
      <c r="I19" s="3">
        <f t="shared" si="0"/>
        <v>0.24249999999999999</v>
      </c>
      <c r="J19" s="1">
        <v>8.6999999999999993</v>
      </c>
      <c r="K19" s="1" t="s">
        <v>58</v>
      </c>
    </row>
    <row r="20" spans="1:11" x14ac:dyDescent="0.25">
      <c r="A20" s="1" t="s">
        <v>17</v>
      </c>
      <c r="B20" s="1" t="s">
        <v>13</v>
      </c>
      <c r="C20" s="1" t="s">
        <v>15</v>
      </c>
      <c r="D20" s="4" t="s">
        <v>59</v>
      </c>
      <c r="E20" s="1">
        <v>1</v>
      </c>
      <c r="F20" s="2">
        <v>0.19899999999999998</v>
      </c>
      <c r="G20" s="1"/>
      <c r="H20" s="1"/>
      <c r="I20" s="3"/>
      <c r="J20" s="1">
        <v>11.2</v>
      </c>
      <c r="K20" s="1" t="s">
        <v>60</v>
      </c>
    </row>
    <row r="21" spans="1:11" x14ac:dyDescent="0.25">
      <c r="A21" s="1" t="s">
        <v>21</v>
      </c>
      <c r="B21" s="1" t="s">
        <v>5</v>
      </c>
      <c r="C21" s="1"/>
      <c r="D21" s="4" t="s">
        <v>53</v>
      </c>
      <c r="E21" s="1">
        <v>2</v>
      </c>
      <c r="F21" s="2">
        <v>0.38500000000000001</v>
      </c>
      <c r="G21" s="2">
        <v>0.30499999999999999</v>
      </c>
      <c r="H21" s="2">
        <v>7.4999999999999997E-2</v>
      </c>
      <c r="I21" s="3">
        <f t="shared" ref="I21:I32" si="1">H21/(H21+G21)</f>
        <v>0.19736842105263158</v>
      </c>
      <c r="J21" s="1">
        <v>20.7</v>
      </c>
      <c r="K21" s="1" t="s">
        <v>62</v>
      </c>
    </row>
    <row r="22" spans="1:11" x14ac:dyDescent="0.25">
      <c r="A22" s="1" t="s">
        <v>22</v>
      </c>
      <c r="B22" s="1" t="s">
        <v>4</v>
      </c>
      <c r="C22" s="1" t="s">
        <v>23</v>
      </c>
      <c r="D22" s="4" t="s">
        <v>53</v>
      </c>
      <c r="E22" s="1">
        <v>10</v>
      </c>
      <c r="F22" s="2">
        <v>0.14799999999999999</v>
      </c>
      <c r="G22" s="2">
        <v>0.129</v>
      </c>
      <c r="H22" s="2">
        <v>1.8000000000000002E-2</v>
      </c>
      <c r="I22" s="3">
        <f t="shared" si="1"/>
        <v>0.12244897959183673</v>
      </c>
      <c r="J22" s="1">
        <v>33.1</v>
      </c>
      <c r="K22" s="1" t="s">
        <v>63</v>
      </c>
    </row>
    <row r="23" spans="1:11" x14ac:dyDescent="0.25">
      <c r="A23" s="1" t="s">
        <v>24</v>
      </c>
      <c r="B23" s="1" t="s">
        <v>4</v>
      </c>
      <c r="C23" s="1" t="s">
        <v>23</v>
      </c>
      <c r="D23" s="4" t="s">
        <v>53</v>
      </c>
      <c r="E23" s="1">
        <v>5</v>
      </c>
      <c r="F23" s="2">
        <v>0.187</v>
      </c>
      <c r="G23" s="2">
        <v>0.16399999999999998</v>
      </c>
      <c r="H23" s="2">
        <v>2.1000000000000001E-2</v>
      </c>
      <c r="I23" s="3">
        <f t="shared" si="1"/>
        <v>0.11351351351351353</v>
      </c>
      <c r="J23" s="1">
        <v>41.4</v>
      </c>
      <c r="K23" s="1"/>
    </row>
    <row r="24" spans="1:11" x14ac:dyDescent="0.25">
      <c r="A24" s="1" t="s">
        <v>25</v>
      </c>
      <c r="B24" s="1" t="s">
        <v>4</v>
      </c>
      <c r="C24" s="1"/>
      <c r="D24" s="4" t="s">
        <v>53</v>
      </c>
      <c r="E24" s="1">
        <v>6</v>
      </c>
      <c r="F24" s="2">
        <v>0.16600000000000001</v>
      </c>
      <c r="G24" s="2">
        <v>0.152</v>
      </c>
      <c r="H24" s="2">
        <v>1.2E-2</v>
      </c>
      <c r="I24" s="3">
        <f t="shared" si="1"/>
        <v>7.3170731707317069E-2</v>
      </c>
      <c r="J24" s="1">
        <v>25.9</v>
      </c>
      <c r="K24" s="1"/>
    </row>
    <row r="25" spans="1:11" x14ac:dyDescent="0.25">
      <c r="A25" s="1" t="s">
        <v>26</v>
      </c>
      <c r="B25" s="1" t="s">
        <v>27</v>
      </c>
      <c r="C25" s="1"/>
      <c r="D25" s="4" t="s">
        <v>53</v>
      </c>
      <c r="E25" s="1">
        <v>0</v>
      </c>
      <c r="F25" s="2">
        <v>0.11900000000000001</v>
      </c>
      <c r="G25" s="2">
        <v>0.10800000000000001</v>
      </c>
      <c r="H25" s="2">
        <v>1.1000000000000001E-2</v>
      </c>
      <c r="I25" s="3">
        <f t="shared" si="1"/>
        <v>9.2436974789915971E-2</v>
      </c>
      <c r="J25" s="1">
        <v>26.3</v>
      </c>
      <c r="K25" s="1" t="s">
        <v>64</v>
      </c>
    </row>
    <row r="26" spans="1:11" x14ac:dyDescent="0.25">
      <c r="A26" s="1" t="s">
        <v>28</v>
      </c>
      <c r="B26" s="1" t="s">
        <v>27</v>
      </c>
      <c r="C26" s="1"/>
      <c r="D26" s="4" t="s">
        <v>53</v>
      </c>
      <c r="E26" s="1">
        <v>12</v>
      </c>
      <c r="F26" s="2">
        <v>0.114</v>
      </c>
      <c r="G26" s="2">
        <v>0.2</v>
      </c>
      <c r="H26" s="2">
        <v>5.2000000000000005E-2</v>
      </c>
      <c r="I26" s="3">
        <f t="shared" si="1"/>
        <v>0.20634920634920637</v>
      </c>
      <c r="J26" s="1">
        <v>35.5</v>
      </c>
      <c r="K26" s="1"/>
    </row>
    <row r="27" spans="1:11" x14ac:dyDescent="0.25">
      <c r="A27" s="7" t="s">
        <v>29</v>
      </c>
      <c r="B27" s="1" t="s">
        <v>27</v>
      </c>
      <c r="C27" s="1"/>
      <c r="D27" s="4" t="s">
        <v>53</v>
      </c>
      <c r="E27" s="1">
        <v>1</v>
      </c>
      <c r="F27" s="2">
        <v>9.9000000000000005E-2</v>
      </c>
      <c r="G27" s="2">
        <v>0.221</v>
      </c>
      <c r="H27" s="2">
        <v>0.06</v>
      </c>
      <c r="I27" s="3">
        <f t="shared" si="1"/>
        <v>0.21352313167259784</v>
      </c>
      <c r="J27" s="1">
        <v>32.9</v>
      </c>
      <c r="K27" s="1"/>
    </row>
    <row r="28" spans="1:11" x14ac:dyDescent="0.25">
      <c r="A28" s="7" t="s">
        <v>30</v>
      </c>
      <c r="B28" s="1" t="s">
        <v>31</v>
      </c>
      <c r="C28" s="1"/>
      <c r="D28" s="4" t="s">
        <v>53</v>
      </c>
      <c r="E28" s="1">
        <v>2</v>
      </c>
      <c r="F28" s="2">
        <v>0.21299999999999999</v>
      </c>
      <c r="G28" s="2">
        <v>0.19600000000000001</v>
      </c>
      <c r="H28" s="2">
        <v>1.6E-2</v>
      </c>
      <c r="I28" s="3">
        <f t="shared" si="1"/>
        <v>7.5471698113207544E-2</v>
      </c>
      <c r="J28" s="1">
        <v>9.5</v>
      </c>
      <c r="K28" s="1" t="s">
        <v>72</v>
      </c>
    </row>
    <row r="29" spans="1:11" x14ac:dyDescent="0.25">
      <c r="A29" s="7" t="s">
        <v>32</v>
      </c>
      <c r="B29" s="1" t="s">
        <v>31</v>
      </c>
      <c r="C29" s="1"/>
      <c r="D29" s="4" t="s">
        <v>53</v>
      </c>
      <c r="E29" s="1">
        <v>0</v>
      </c>
      <c r="F29" s="2">
        <v>0.20600000000000002</v>
      </c>
      <c r="G29" s="2">
        <v>0.186</v>
      </c>
      <c r="H29" s="2">
        <v>0.02</v>
      </c>
      <c r="I29" s="3">
        <f t="shared" si="1"/>
        <v>9.7087378640776711E-2</v>
      </c>
      <c r="J29" s="1">
        <v>4.9000000000000004</v>
      </c>
      <c r="K29" s="1" t="s">
        <v>71</v>
      </c>
    </row>
    <row r="30" spans="1:11" x14ac:dyDescent="0.25">
      <c r="A30" s="7" t="s">
        <v>33</v>
      </c>
      <c r="B30" s="1" t="s">
        <v>31</v>
      </c>
      <c r="C30" s="1" t="s">
        <v>34</v>
      </c>
      <c r="D30" s="4" t="s">
        <v>53</v>
      </c>
      <c r="E30" s="1">
        <v>2</v>
      </c>
      <c r="F30" s="2">
        <v>0.157</v>
      </c>
      <c r="G30" s="2">
        <v>0.14599999999999999</v>
      </c>
      <c r="H30" s="2">
        <v>1.0999999999999999E-2</v>
      </c>
      <c r="I30" s="3">
        <f t="shared" si="1"/>
        <v>7.0063694267515922E-2</v>
      </c>
      <c r="J30" s="1">
        <v>4.9000000000000004</v>
      </c>
      <c r="K30" s="1" t="s">
        <v>73</v>
      </c>
    </row>
    <row r="31" spans="1:11" x14ac:dyDescent="0.25">
      <c r="A31" s="1" t="s">
        <v>35</v>
      </c>
      <c r="B31" s="1" t="s">
        <v>34</v>
      </c>
      <c r="C31" s="1"/>
      <c r="D31" s="4" t="s">
        <v>53</v>
      </c>
      <c r="E31" s="1">
        <v>1</v>
      </c>
      <c r="F31" s="2">
        <v>9.5000000000000001E-2</v>
      </c>
      <c r="G31" s="2">
        <v>0.09</v>
      </c>
      <c r="H31" s="2">
        <v>0.4</v>
      </c>
      <c r="I31" s="3">
        <f t="shared" si="1"/>
        <v>0.81632653061224492</v>
      </c>
      <c r="J31" s="1">
        <v>9.6</v>
      </c>
      <c r="K31" s="1" t="s">
        <v>69</v>
      </c>
    </row>
    <row r="32" spans="1:11" x14ac:dyDescent="0.25">
      <c r="A32" s="15" t="s">
        <v>36</v>
      </c>
      <c r="B32" s="15" t="s">
        <v>34</v>
      </c>
      <c r="C32" s="15"/>
      <c r="D32" s="16" t="s">
        <v>53</v>
      </c>
      <c r="E32" s="15">
        <v>1</v>
      </c>
      <c r="F32" s="17">
        <v>0.2</v>
      </c>
      <c r="G32" s="17">
        <v>0.17499999999999999</v>
      </c>
      <c r="H32" s="17">
        <v>2.3E-2</v>
      </c>
      <c r="I32" s="18">
        <f t="shared" si="1"/>
        <v>0.11616161616161617</v>
      </c>
      <c r="J32" s="15">
        <v>17.5</v>
      </c>
      <c r="K32" s="15" t="s">
        <v>70</v>
      </c>
    </row>
    <row r="33" spans="1:11" x14ac:dyDescent="0.25">
      <c r="A33" s="24" t="s">
        <v>78</v>
      </c>
      <c r="B33" s="1"/>
      <c r="C33" s="1"/>
      <c r="D33" s="4"/>
      <c r="E33" s="1"/>
      <c r="F33" s="2"/>
      <c r="G33" s="2"/>
      <c r="H33" s="2"/>
      <c r="I33" s="3"/>
      <c r="J33" s="1"/>
      <c r="K33" s="1"/>
    </row>
    <row r="34" spans="1:11" x14ac:dyDescent="0.25">
      <c r="A34" s="1" t="s">
        <v>37</v>
      </c>
      <c r="B34" s="1" t="s">
        <v>5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38</v>
      </c>
      <c r="B35" s="1" t="s">
        <v>1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 t="s">
        <v>39</v>
      </c>
      <c r="B36" s="1" t="s">
        <v>13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 t="s">
        <v>41</v>
      </c>
      <c r="B37" s="1" t="s">
        <v>13</v>
      </c>
      <c r="C37" s="1" t="s">
        <v>5</v>
      </c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 t="s">
        <v>42</v>
      </c>
      <c r="B38" s="1" t="s">
        <v>9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 t="s">
        <v>43</v>
      </c>
      <c r="B39" s="1" t="s">
        <v>2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 t="s">
        <v>44</v>
      </c>
      <c r="B40" s="1" t="s">
        <v>2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 t="s">
        <v>45</v>
      </c>
      <c r="B41" s="1" t="s">
        <v>4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 t="s">
        <v>46</v>
      </c>
      <c r="B42" s="1" t="s">
        <v>2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 t="s">
        <v>47</v>
      </c>
      <c r="B43" s="1" t="s">
        <v>48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5" t="s">
        <v>49</v>
      </c>
      <c r="B44" s="15" t="s">
        <v>23</v>
      </c>
      <c r="C44" s="15"/>
      <c r="D44" s="15"/>
      <c r="E44" s="15"/>
      <c r="F44" s="15"/>
      <c r="G44" s="15"/>
      <c r="H44" s="15"/>
      <c r="I44" s="15"/>
      <c r="J44" s="15"/>
      <c r="K44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Detenbeck, Naomi</dc:creator>
  <cp:lastModifiedBy>ndetenbe</cp:lastModifiedBy>
  <dcterms:created xsi:type="dcterms:W3CDTF">2019-06-20T15:41:21Z</dcterms:created>
  <dcterms:modified xsi:type="dcterms:W3CDTF">2019-12-20T20:40:05Z</dcterms:modified>
</cp:coreProperties>
</file>