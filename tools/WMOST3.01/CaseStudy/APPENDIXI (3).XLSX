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WMOST\WMOSTCaseStudies\R3MD_MontgomeryCo\FinalReport\ORDReviewCopies\"/>
    </mc:Choice>
  </mc:AlternateContent>
  <xr:revisionPtr revIDLastSave="0" documentId="8_{B91CC380-BB03-46D4-AFEA-987CDE251FBD}" xr6:coauthVersionLast="41" xr6:coauthVersionMax="41" xr10:uidLastSave="{00000000-0000-0000-0000-000000000000}"/>
  <bookViews>
    <workbookView xWindow="27345" yWindow="690" windowWidth="22710" windowHeight="14295" xr2:uid="{693D28A2-508A-41AE-A7E0-D8827D5FBF41}"/>
  </bookViews>
  <sheets>
    <sheet name="Sheet1" sheetId="1" r:id="rId1"/>
  </sheets>
  <definedNames>
    <definedName name="_xlnm.Print_Area" localSheetId="0">Sheet1!$A$1:$Q$22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" l="1"/>
  <c r="C18" i="1"/>
  <c r="C12" i="1"/>
</calcChain>
</file>

<file path=xl/sharedStrings.xml><?xml version="1.0" encoding="utf-8"?>
<sst xmlns="http://schemas.openxmlformats.org/spreadsheetml/2006/main" count="164" uniqueCount="136">
  <si>
    <t>Location</t>
  </si>
  <si>
    <t>Climate</t>
  </si>
  <si>
    <t>% IA or % dev</t>
  </si>
  <si>
    <t>BMPs considered</t>
  </si>
  <si>
    <t>Most cost-effective</t>
  </si>
  <si>
    <t>OPTimization or SCENario</t>
  </si>
  <si>
    <t>Comments</t>
  </si>
  <si>
    <t>Optn targets</t>
  </si>
  <si>
    <t>Site constraints?</t>
  </si>
  <si>
    <t>Cost components</t>
  </si>
  <si>
    <t>Aggregate BMPs?</t>
  </si>
  <si>
    <t xml:space="preserve">OPT </t>
  </si>
  <si>
    <t>MFF (mass first flush)</t>
  </si>
  <si>
    <t>Gwangju, Korea</t>
  </si>
  <si>
    <t>85% IA</t>
  </si>
  <si>
    <t>No</t>
  </si>
  <si>
    <t>None</t>
  </si>
  <si>
    <t>Event or year</t>
  </si>
  <si>
    <t>Chen et al. 2017</t>
  </si>
  <si>
    <t>Taiwan</t>
  </si>
  <si>
    <t>mixed land-use</t>
  </si>
  <si>
    <t>subtropical</t>
  </si>
  <si>
    <t>Yes (limited area)</t>
  </si>
  <si>
    <t>Giacomini and Joseph 2017</t>
  </si>
  <si>
    <t>urban</t>
  </si>
  <si>
    <t>Mao et al. 2017</t>
  </si>
  <si>
    <t>Foshan, Guangdong Province, China</t>
  </si>
  <si>
    <t>69% IA</t>
  </si>
  <si>
    <t>4 events 21 - 81.4 mm</t>
  </si>
  <si>
    <t>SCEN</t>
  </si>
  <si>
    <t>OPT</t>
  </si>
  <si>
    <t>Constraint 60% flow volume reduction</t>
  </si>
  <si>
    <t>Yes</t>
  </si>
  <si>
    <t>Perez-Pedini et al. 2005</t>
  </si>
  <si>
    <t>Peak flow reduction</t>
  </si>
  <si>
    <t>Aberjona R, MA, USA</t>
  </si>
  <si>
    <t>OPT placement</t>
  </si>
  <si>
    <t>Zoltay et al. 2010</t>
  </si>
  <si>
    <t>Ipswich R, MA</t>
  </si>
  <si>
    <t>temperate</t>
  </si>
  <si>
    <t>Increase instream flow</t>
  </si>
  <si>
    <t>TetraTech 2009</t>
  </si>
  <si>
    <t>Charles R, MA</t>
  </si>
  <si>
    <t>P load reduction</t>
  </si>
  <si>
    <t>BMPs w higher P efficiency in areas of high P loads sized larger</t>
  </si>
  <si>
    <t>temperate, coastal</t>
  </si>
  <si>
    <t>yes</t>
  </si>
  <si>
    <t>construction only</t>
  </si>
  <si>
    <t>area and depth RO treated varied by HRU and site constraints</t>
  </si>
  <si>
    <t>Damodoram et al. 2010</t>
  </si>
  <si>
    <t>Texas A&amp;M campus</t>
  </si>
  <si>
    <t>arid</t>
  </si>
  <si>
    <t>41% IA</t>
  </si>
  <si>
    <t>18 - 45 mm events, 2 y24h (114 mm), 10y24h (185 mm), 100y 24h (279 mm)</t>
  </si>
  <si>
    <t>not considered</t>
  </si>
  <si>
    <t>peak flow reduction, timing</t>
  </si>
  <si>
    <t>nationwide simulations</t>
  </si>
  <si>
    <t>Newport 2014 (unpubl)</t>
  </si>
  <si>
    <t>retention vs retention + WQ treatment vs WQ treatment only</t>
  </si>
  <si>
    <t>Results differed for development vs redevelopment and commercial vs multifamily vs residential; ESD benefits in reducing SCM requirements</t>
  </si>
  <si>
    <t>Middle Rio Grande</t>
  </si>
  <si>
    <t>E coli</t>
  </si>
  <si>
    <t>Shamsi et al 2014</t>
  </si>
  <si>
    <t>Allegheny Co, PA</t>
  </si>
  <si>
    <t>85% decr CSO events</t>
  </si>
  <si>
    <t>BR/RG, CW/WP, GW/BW, IB/IT, PP, VFS/GB</t>
  </si>
  <si>
    <t>NHC 2017</t>
  </si>
  <si>
    <t>Little Bear Creek, Snohomish Co, WA</t>
  </si>
  <si>
    <t>humid</t>
  </si>
  <si>
    <t xml:space="preserve"> yes, by LU type</t>
  </si>
  <si>
    <t>flow (based on B-IBI targets), temperature</t>
  </si>
  <si>
    <t>Gorst Creek + Bremerton UGA, WA</t>
  </si>
  <si>
    <t>peak flow redn</t>
  </si>
  <si>
    <t>Green-Duwamish R, WA</t>
  </si>
  <si>
    <t>SCEN: New + redev +/- road retrofits +/- nonroad retrofits</t>
  </si>
  <si>
    <t>Cap + O&amp;M + Insp/Enf + Land costs</t>
  </si>
  <si>
    <t>decreased hi pulse count, TSS, Tot Cu, Tot Zn</t>
  </si>
  <si>
    <t>King Co</t>
  </si>
  <si>
    <t>US EPA 2013</t>
  </si>
  <si>
    <t>Albuquerque, NM</t>
  </si>
  <si>
    <t>0.78" event</t>
  </si>
  <si>
    <t>Minimize E coli</t>
  </si>
  <si>
    <t>Lower Grand R, OH</t>
  </si>
  <si>
    <t>18.1 - 19.8% IA</t>
  </si>
  <si>
    <t>Ann vol reduction (incr low flow, decr hi flows)</t>
  </si>
  <si>
    <t>design, constrn + contingency</t>
  </si>
  <si>
    <t>1996 - 1998 (wet, dry avg prec)</t>
  </si>
  <si>
    <t>Chen et al. 2014</t>
  </si>
  <si>
    <t>Taiwan, Yuanshanyan R</t>
  </si>
  <si>
    <t>88 km2</t>
  </si>
  <si>
    <t>mixed; 18% res'l, 17% agr</t>
  </si>
  <si>
    <t>TP, TN, TSS, BOD</t>
  </si>
  <si>
    <t>BR, GS, PP</t>
  </si>
  <si>
    <t>SS redn optimal for LID sized at 1% of wshd area (BR, PP)</t>
  </si>
  <si>
    <t>Representative event (32.4 mm, 8.6h)</t>
  </si>
  <si>
    <t xml:space="preserve">Optimal size of BR, GR, IT, PP, RB </t>
  </si>
  <si>
    <t>Optimal type, #, placement: RB,PP,GR</t>
  </si>
  <si>
    <t>PP, GR, PP + GR</t>
  </si>
  <si>
    <t>IB</t>
  </si>
  <si>
    <t>site: IB,BF,GS,PP; neighborhood: GW,RDP</t>
  </si>
  <si>
    <t>DP vs LID (GR,PP,RB) vs combined</t>
  </si>
  <si>
    <t>SS,PW,RB,X,DB</t>
  </si>
  <si>
    <t>RG/BR, VF,PP, BS,IP,WP/WT, nonstructural, FB</t>
  </si>
  <si>
    <t>RB, BR, PP, DP</t>
  </si>
  <si>
    <t>RB, PP, BR</t>
  </si>
  <si>
    <t xml:space="preserve">RB,X,DP,PW,SS </t>
  </si>
  <si>
    <t>BR, PP, RB, WP, DP, TT</t>
  </si>
  <si>
    <t>4 TT: RB, GR -&gt; BR or     PP  -&gt; GS -&gt; WP</t>
  </si>
  <si>
    <t>2 y 2 hr design storm (24.8 mm)  + 10 events from 10 yr record w exceedance freq of 0.2 - 40%</t>
  </si>
  <si>
    <t>720 km2 (modelled 135 hypothetical 0.404 km2 catchment: 5 LU x 3 Soil Type x 2 Slope x 3 precn x 2 land costs)</t>
  </si>
  <si>
    <t>0.6 km2, 0.404 km2</t>
  </si>
  <si>
    <t>Ann Prec (cm)</t>
  </si>
  <si>
    <t>Ann Temp (deg C)</t>
  </si>
  <si>
    <t>Watershed size (km2)</t>
  </si>
  <si>
    <t>not reported</t>
  </si>
  <si>
    <t>structural + nonstructural</t>
  </si>
  <si>
    <t>cost + (peak flow, runoff volume or Hydrologic Footprint Residence, HFR)</t>
  </si>
  <si>
    <t>Peak flow, runoff volume targets: combination of GR, PP in lower watershed; HFR: combination throughout watershed</t>
  </si>
  <si>
    <t>Multicontrol treatment trains more expensive but better control of flow volume, peak flow</t>
  </si>
  <si>
    <t>Green roofs in lower subcatchments</t>
  </si>
  <si>
    <t>Drinking water price increase, leak repairs for lower instream flow targets; added Aquifer Storage and Recovery and BR for full instream flow target</t>
  </si>
  <si>
    <t>LID more effective for small events, DP  better than LID for 3 design storms for peak flow reduction but LID better simulates pre-development timing; comb'n scenario most closely matches predevelopment</t>
  </si>
  <si>
    <t>BR = bioretention, GR = green roof, IT = infiltration trench, PP = porous pavement, RB = rain barrel/cistern, GS = grassed swale, WP = wet pond, IB = infiltration BMPs, BF = biofiltration, GW = gravel wetland, RDB = retention/detention basins, SS = street sweeping, X = xeriscaping, PW = pet waste management,  DP = detention pond, VF = vegetated filter strip, FB = forested buffer, ESD = environmental site design</t>
  </si>
  <si>
    <t>% opportunities used: GS &gt; RG &gt; BR &gt; FS &gt;&gt; PP, DP, add'l dev BMPs</t>
  </si>
  <si>
    <t>RB throughout at site scale, DP at regional scale but not in lower watershed due to peak synchronization effects</t>
  </si>
  <si>
    <t>Results sensitive to cost of street sweeping; Low end cost infreq. SS (monthly) not cost effective compared w RB; High cost SS: No street sweeping, added centralized WP</t>
  </si>
  <si>
    <t>Minimal peak flow reduction seen but incremental low flow volume targets met</t>
  </si>
  <si>
    <t>GS for open space + PP for schools showed greatest load reduction</t>
  </si>
  <si>
    <t>% potential utilization varied w flow target: RG &gt; RB (lo target only) &gt; block BR &gt; PP (more imp for higher flow reduction targets)</t>
  </si>
  <si>
    <t>RB, X</t>
  </si>
  <si>
    <t>Optimal size differs for EMC as compared to loading target; SS load  decreases w BMP size for all LID, EMC lowest at intermediate BMP size; min EMC for IT, PP, GS</t>
  </si>
  <si>
    <t>Baek et al. 2015</t>
  </si>
  <si>
    <t>BOTH: Retrofit BMPs +/- additional development BMP reqts +/- canopy</t>
  </si>
  <si>
    <t>Temperature criteria not met until riparian buffers added; Area: Buffer &gt; LID &gt; DP  &gt; WQ filtration ; Cost: DP &gt; LID &gt; WQ filtr &gt; FB</t>
  </si>
  <si>
    <t>Reference</t>
  </si>
  <si>
    <t>Appendix I.  Summary of urban stormwater BMP scenario and optimization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</si>
</sst>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9" fontId="0" fillId="0" borderId="0" xfId="0" applyNumberFormat="1"/>
    <xf numFmtId="0" fontId="0" fillId="0" borderId="1" xfId="0" applyBorder="1" applyAlignment="1">
      <alignment wrapText="1"/>
    </xf>
    <xf numFmtId="164" fontId="0" fillId="0" borderId="0" xfId="0" applyNumberFormat="1" applyAlignment="1"/>
    <xf numFmtId="164" fontId="0" fillId="0" borderId="1" xfId="0" applyNumberFormat="1" applyBorder="1" applyAlignment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Border="1" applyAlignmen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413A-9199-4247-A2B6-01EAC050D2C2}">
  <sheetPr>
    <pageSetUpPr fitToPage="1"/>
  </sheetPr>
  <dimension ref="A1:Q22"/>
  <sheetViews>
    <sheetView tabSelected="1" workbookViewId="0">
      <selection activeCell="A2" sqref="A2"/>
    </sheetView>
  </sheetViews>
  <sheetFormatPr defaultRowHeight="15" x14ac:dyDescent="0.25"/>
  <cols>
    <col min="1" max="1" width="19.85546875" customWidth="1"/>
    <col min="2" max="2" width="10.85546875" customWidth="1"/>
    <col min="3" max="3" width="9.140625" style="6"/>
    <col min="4" max="4" width="10.85546875" customWidth="1"/>
    <col min="5" max="5" width="16.28515625" customWidth="1"/>
    <col min="6" max="6" width="14.7109375" customWidth="1"/>
    <col min="7" max="7" width="17.42578125" customWidth="1"/>
    <col min="8" max="8" width="16.28515625" customWidth="1"/>
    <col min="9" max="10" width="17.140625" customWidth="1"/>
    <col min="11" max="12" width="23.5703125" customWidth="1"/>
    <col min="13" max="13" width="17.140625" customWidth="1"/>
    <col min="14" max="14" width="17.5703125" customWidth="1"/>
    <col min="15" max="15" width="17.140625" customWidth="1"/>
    <col min="16" max="16" width="9.140625" customWidth="1"/>
    <col min="17" max="17" width="16.140625" customWidth="1"/>
  </cols>
  <sheetData>
    <row r="1" spans="1:17" x14ac:dyDescent="0.25">
      <c r="A1" t="s">
        <v>135</v>
      </c>
    </row>
    <row r="3" spans="1:17" ht="29.25" customHeight="1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30" x14ac:dyDescent="0.25">
      <c r="A5" s="1" t="s">
        <v>0</v>
      </c>
      <c r="B5" s="1" t="s">
        <v>1</v>
      </c>
      <c r="C5" s="7" t="s">
        <v>111</v>
      </c>
      <c r="D5" s="5" t="s">
        <v>112</v>
      </c>
      <c r="E5" s="1" t="s">
        <v>17</v>
      </c>
      <c r="F5" s="5" t="s">
        <v>113</v>
      </c>
      <c r="G5" s="1" t="s">
        <v>2</v>
      </c>
      <c r="H5" s="1" t="s">
        <v>8</v>
      </c>
      <c r="I5" s="1" t="s">
        <v>3</v>
      </c>
      <c r="J5" s="1" t="s">
        <v>10</v>
      </c>
      <c r="K5" s="1" t="s">
        <v>5</v>
      </c>
      <c r="L5" s="1" t="s">
        <v>9</v>
      </c>
      <c r="M5" s="1" t="s">
        <v>7</v>
      </c>
      <c r="N5" s="1" t="s">
        <v>4</v>
      </c>
      <c r="O5" s="1" t="s">
        <v>6</v>
      </c>
      <c r="P5" s="10" t="s">
        <v>134</v>
      </c>
      <c r="Q5" s="11"/>
    </row>
    <row r="6" spans="1:17" ht="152.25" customHeight="1" x14ac:dyDescent="0.25">
      <c r="A6" t="s">
        <v>13</v>
      </c>
      <c r="C6" s="6">
        <v>139.1</v>
      </c>
      <c r="D6">
        <v>13.7</v>
      </c>
      <c r="E6" s="2" t="s">
        <v>94</v>
      </c>
      <c r="F6">
        <v>1.2500000000000001E-2</v>
      </c>
      <c r="G6" t="s">
        <v>14</v>
      </c>
      <c r="H6" t="s">
        <v>15</v>
      </c>
      <c r="I6" s="2" t="s">
        <v>95</v>
      </c>
      <c r="J6" t="s">
        <v>15</v>
      </c>
      <c r="K6" t="s">
        <v>11</v>
      </c>
      <c r="L6" t="s">
        <v>16</v>
      </c>
      <c r="M6" s="2" t="s">
        <v>12</v>
      </c>
      <c r="O6" s="9" t="s">
        <v>130</v>
      </c>
      <c r="P6" t="s">
        <v>131</v>
      </c>
    </row>
    <row r="7" spans="1:17" ht="45" x14ac:dyDescent="0.25">
      <c r="A7" t="s">
        <v>19</v>
      </c>
      <c r="B7" t="s">
        <v>21</v>
      </c>
      <c r="G7" t="s">
        <v>20</v>
      </c>
      <c r="H7" t="s">
        <v>22</v>
      </c>
      <c r="I7" s="2" t="s">
        <v>96</v>
      </c>
      <c r="J7" t="s">
        <v>15</v>
      </c>
      <c r="K7" t="s">
        <v>30</v>
      </c>
      <c r="N7" s="2" t="s">
        <v>119</v>
      </c>
      <c r="P7" t="s">
        <v>18</v>
      </c>
    </row>
    <row r="8" spans="1:17" ht="120" x14ac:dyDescent="0.25">
      <c r="A8" s="8" t="s">
        <v>114</v>
      </c>
      <c r="E8" s="2" t="s">
        <v>108</v>
      </c>
      <c r="F8">
        <v>0.11700000000000001</v>
      </c>
      <c r="G8" t="s">
        <v>24</v>
      </c>
      <c r="I8" s="3" t="s">
        <v>97</v>
      </c>
      <c r="J8" t="s">
        <v>32</v>
      </c>
      <c r="K8" t="s">
        <v>30</v>
      </c>
      <c r="M8" s="2" t="s">
        <v>116</v>
      </c>
      <c r="N8" s="2" t="s">
        <v>117</v>
      </c>
      <c r="P8" t="s">
        <v>23</v>
      </c>
    </row>
    <row r="9" spans="1:17" ht="90" x14ac:dyDescent="0.25">
      <c r="A9" s="2" t="s">
        <v>26</v>
      </c>
      <c r="B9" t="s">
        <v>21</v>
      </c>
      <c r="C9" s="6">
        <v>161.5</v>
      </c>
      <c r="D9">
        <v>22</v>
      </c>
      <c r="E9" s="2" t="s">
        <v>28</v>
      </c>
      <c r="F9">
        <v>0.4</v>
      </c>
      <c r="G9" t="s">
        <v>27</v>
      </c>
      <c r="I9" s="3" t="s">
        <v>107</v>
      </c>
      <c r="J9" t="s">
        <v>32</v>
      </c>
      <c r="K9" t="s">
        <v>29</v>
      </c>
      <c r="M9" s="2" t="s">
        <v>31</v>
      </c>
      <c r="N9" s="2" t="s">
        <v>118</v>
      </c>
      <c r="P9" t="s">
        <v>25</v>
      </c>
    </row>
    <row r="10" spans="1:17" ht="30" x14ac:dyDescent="0.25">
      <c r="A10" t="s">
        <v>35</v>
      </c>
      <c r="B10" t="s">
        <v>39</v>
      </c>
      <c r="I10" s="3" t="s">
        <v>98</v>
      </c>
      <c r="K10" t="s">
        <v>36</v>
      </c>
      <c r="M10" s="2" t="s">
        <v>34</v>
      </c>
      <c r="P10" t="s">
        <v>33</v>
      </c>
    </row>
    <row r="11" spans="1:17" ht="150" x14ac:dyDescent="0.25">
      <c r="A11" t="s">
        <v>38</v>
      </c>
      <c r="B11" t="s">
        <v>39</v>
      </c>
      <c r="J11" s="2" t="s">
        <v>115</v>
      </c>
      <c r="K11" t="s">
        <v>30</v>
      </c>
      <c r="M11" s="2" t="s">
        <v>40</v>
      </c>
      <c r="N11" s="2" t="s">
        <v>120</v>
      </c>
      <c r="P11" t="s">
        <v>37</v>
      </c>
    </row>
    <row r="12" spans="1:17" ht="60" x14ac:dyDescent="0.25">
      <c r="A12" t="s">
        <v>42</v>
      </c>
      <c r="B12" s="2" t="s">
        <v>45</v>
      </c>
      <c r="C12" s="6">
        <f>42.66 * 2.54</f>
        <v>108.35639999999999</v>
      </c>
      <c r="H12" t="s">
        <v>46</v>
      </c>
      <c r="I12" s="3" t="s">
        <v>99</v>
      </c>
      <c r="J12" t="s">
        <v>46</v>
      </c>
      <c r="K12" t="s">
        <v>29</v>
      </c>
      <c r="L12" t="s">
        <v>47</v>
      </c>
      <c r="M12" t="s">
        <v>43</v>
      </c>
      <c r="N12" s="2" t="s">
        <v>44</v>
      </c>
      <c r="O12" s="2" t="s">
        <v>48</v>
      </c>
      <c r="P12" t="s">
        <v>41</v>
      </c>
    </row>
    <row r="13" spans="1:17" ht="195" x14ac:dyDescent="0.25">
      <c r="A13" t="s">
        <v>50</v>
      </c>
      <c r="B13" t="s">
        <v>51</v>
      </c>
      <c r="E13" s="2" t="s">
        <v>53</v>
      </c>
      <c r="F13">
        <v>3.18</v>
      </c>
      <c r="G13" t="s">
        <v>52</v>
      </c>
      <c r="I13" s="3" t="s">
        <v>100</v>
      </c>
      <c r="L13" t="s">
        <v>54</v>
      </c>
      <c r="M13" s="2" t="s">
        <v>55</v>
      </c>
      <c r="N13" s="2" t="s">
        <v>121</v>
      </c>
      <c r="P13" t="s">
        <v>49</v>
      </c>
    </row>
    <row r="14" spans="1:17" ht="135" x14ac:dyDescent="0.25">
      <c r="A14" t="s">
        <v>56</v>
      </c>
      <c r="I14" s="3" t="s">
        <v>58</v>
      </c>
      <c r="N14" s="2" t="s">
        <v>59</v>
      </c>
      <c r="P14" t="s">
        <v>57</v>
      </c>
    </row>
    <row r="15" spans="1:17" x14ac:dyDescent="0.25">
      <c r="A15" t="s">
        <v>60</v>
      </c>
      <c r="B15" t="s">
        <v>51</v>
      </c>
      <c r="I15" s="3" t="s">
        <v>101</v>
      </c>
      <c r="J15" t="s">
        <v>46</v>
      </c>
      <c r="K15" t="s">
        <v>30</v>
      </c>
      <c r="M15" t="s">
        <v>61</v>
      </c>
    </row>
    <row r="16" spans="1:17" ht="45" x14ac:dyDescent="0.25">
      <c r="A16" t="s">
        <v>63</v>
      </c>
      <c r="H16" t="s">
        <v>46</v>
      </c>
      <c r="I16" s="3" t="s">
        <v>65</v>
      </c>
      <c r="K16" t="s">
        <v>29</v>
      </c>
      <c r="M16" s="2" t="s">
        <v>64</v>
      </c>
      <c r="P16" t="s">
        <v>62</v>
      </c>
    </row>
    <row r="17" spans="1:16" ht="135" x14ac:dyDescent="0.25">
      <c r="A17" s="2" t="s">
        <v>67</v>
      </c>
      <c r="B17" t="s">
        <v>68</v>
      </c>
      <c r="F17">
        <v>38.799999999999997</v>
      </c>
      <c r="H17" t="s">
        <v>46</v>
      </c>
      <c r="I17" s="3" t="s">
        <v>102</v>
      </c>
      <c r="J17" t="s">
        <v>69</v>
      </c>
      <c r="K17" s="2" t="s">
        <v>132</v>
      </c>
      <c r="M17" s="2" t="s">
        <v>70</v>
      </c>
      <c r="N17" s="2" t="s">
        <v>123</v>
      </c>
      <c r="O17" s="9" t="s">
        <v>133</v>
      </c>
      <c r="P17" t="s">
        <v>66</v>
      </c>
    </row>
    <row r="18" spans="1:16" ht="120" x14ac:dyDescent="0.25">
      <c r="A18" t="s">
        <v>71</v>
      </c>
      <c r="B18" t="s">
        <v>68</v>
      </c>
      <c r="C18" s="6">
        <f>48.3 * 2.54</f>
        <v>122.68199999999999</v>
      </c>
      <c r="E18">
        <v>2008</v>
      </c>
      <c r="F18">
        <v>26.6</v>
      </c>
      <c r="G18" s="4">
        <v>0.05</v>
      </c>
      <c r="I18" s="3" t="s">
        <v>103</v>
      </c>
      <c r="J18" t="s">
        <v>46</v>
      </c>
      <c r="K18" t="s">
        <v>30</v>
      </c>
      <c r="M18" t="s">
        <v>72</v>
      </c>
      <c r="N18" s="2" t="s">
        <v>124</v>
      </c>
      <c r="P18" t="s">
        <v>77</v>
      </c>
    </row>
    <row r="19" spans="1:16" ht="135" x14ac:dyDescent="0.25">
      <c r="A19" t="s">
        <v>73</v>
      </c>
      <c r="B19" t="s">
        <v>68</v>
      </c>
      <c r="F19" s="2" t="s">
        <v>109</v>
      </c>
      <c r="I19" s="3" t="s">
        <v>104</v>
      </c>
      <c r="J19" t="s">
        <v>46</v>
      </c>
      <c r="K19" s="2" t="s">
        <v>74</v>
      </c>
      <c r="L19" s="2" t="s">
        <v>75</v>
      </c>
      <c r="M19" s="2" t="s">
        <v>76</v>
      </c>
      <c r="P19" s="2" t="s">
        <v>77</v>
      </c>
    </row>
    <row r="20" spans="1:16" ht="165" x14ac:dyDescent="0.25">
      <c r="A20" t="s">
        <v>79</v>
      </c>
      <c r="B20" t="s">
        <v>51</v>
      </c>
      <c r="C20" s="6">
        <f>9.5 * 2.54</f>
        <v>24.13</v>
      </c>
      <c r="E20" t="s">
        <v>80</v>
      </c>
      <c r="I20" s="3" t="s">
        <v>105</v>
      </c>
      <c r="K20" t="s">
        <v>30</v>
      </c>
      <c r="M20" t="s">
        <v>81</v>
      </c>
      <c r="N20" s="2" t="s">
        <v>129</v>
      </c>
      <c r="O20" s="2" t="s">
        <v>125</v>
      </c>
      <c r="P20" t="s">
        <v>78</v>
      </c>
    </row>
    <row r="21" spans="1:16" ht="120" x14ac:dyDescent="0.25">
      <c r="A21" t="s">
        <v>82</v>
      </c>
      <c r="B21" t="s">
        <v>39</v>
      </c>
      <c r="E21" s="2" t="s">
        <v>86</v>
      </c>
      <c r="F21" s="2" t="s">
        <v>110</v>
      </c>
      <c r="G21" t="s">
        <v>83</v>
      </c>
      <c r="H21" t="s">
        <v>32</v>
      </c>
      <c r="I21" s="3" t="s">
        <v>106</v>
      </c>
      <c r="J21" t="s">
        <v>32</v>
      </c>
      <c r="K21" s="2" t="s">
        <v>30</v>
      </c>
      <c r="L21" s="2" t="s">
        <v>85</v>
      </c>
      <c r="M21" s="2" t="s">
        <v>84</v>
      </c>
      <c r="N21" s="2" t="s">
        <v>128</v>
      </c>
      <c r="O21" s="2" t="s">
        <v>126</v>
      </c>
    </row>
    <row r="22" spans="1:16" ht="60" x14ac:dyDescent="0.25">
      <c r="A22" t="s">
        <v>88</v>
      </c>
      <c r="F22" t="s">
        <v>89</v>
      </c>
      <c r="G22" s="2" t="s">
        <v>90</v>
      </c>
      <c r="I22" s="3" t="s">
        <v>92</v>
      </c>
      <c r="K22" s="3" t="s">
        <v>29</v>
      </c>
      <c r="M22" t="s">
        <v>91</v>
      </c>
      <c r="N22" s="2" t="s">
        <v>127</v>
      </c>
      <c r="O22" s="2" t="s">
        <v>93</v>
      </c>
      <c r="P22" t="s">
        <v>87</v>
      </c>
    </row>
  </sheetData>
  <mergeCells count="2">
    <mergeCell ref="P5:Q5"/>
    <mergeCell ref="A3:Q3"/>
  </mergeCells>
  <pageMargins left="0.7" right="0.7" top="0.75" bottom="0.75" header="0.3" footer="0.3"/>
  <pageSetup paperSize="5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ndetenbe</dc:creator>
  <cp:lastModifiedBy>ndetenbe</cp:lastModifiedBy>
  <cp:lastPrinted>2018-11-26T21:45:44Z</cp:lastPrinted>
  <dcterms:created xsi:type="dcterms:W3CDTF">2018-11-16T20:33:42Z</dcterms:created>
  <dcterms:modified xsi:type="dcterms:W3CDTF">2019-12-20T20:45:20Z</dcterms:modified>
</cp:coreProperties>
</file>