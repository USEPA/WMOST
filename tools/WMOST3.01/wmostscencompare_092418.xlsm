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Priv\NDETENBE\RAREFY13\Contract\Deliverables\ScenCompare_073118\ORDReviewRevisions\"/>
    </mc:Choice>
  </mc:AlternateContent>
  <bookViews>
    <workbookView xWindow="0" yWindow="120" windowWidth="20490" windowHeight="7110" tabRatio="794"/>
  </bookViews>
  <sheets>
    <sheet name="Introduction" sheetId="124" r:id="rId1"/>
    <sheet name="Controls" sheetId="68" r:id="rId2"/>
    <sheet name="Variable Definitions" sheetId="123" r:id="rId3"/>
    <sheet name="Loaded Scenarios" sheetId="2" r:id="rId4"/>
    <sheet name="Model Results" sheetId="125" r:id="rId5"/>
    <sheet name="Model Input Data" sheetId="126" r:id="rId6"/>
  </sheets>
  <functionGroups builtInGroupCount="18"/>
  <definedNames>
    <definedName name="CDrSet">'Variable Definitions'!$A$65</definedName>
    <definedName name="CLuSet">'Variable Definitions'!$A$22</definedName>
    <definedName name="CLuSetEnd">'Variable Definitions'!$A$23</definedName>
    <definedName name="CRipSet">'Variable Definitions'!$A$68</definedName>
    <definedName name="DALu">'Variable Definitions'!$A$34</definedName>
    <definedName name="DALuEnd">'Variable Definitions'!$A$38</definedName>
    <definedName name="DRipSet">'Variable Definitions'!$A$69</definedName>
    <definedName name="DrSetName">'Variable Definitions'!$J$147</definedName>
    <definedName name="NamesWUse">'Variable Definitions'!$J$21</definedName>
    <definedName name="NLuName">'Variable Definitions'!$J$10</definedName>
    <definedName name="NLuSetName">'Variable Definitions'!$J$15</definedName>
    <definedName name="QUseNp1">'Variable Definitions'!$E$52</definedName>
    <definedName name="QUseP1">'Variable Definitions'!$E$56</definedName>
    <definedName name="RipSetName">'Variable Definitions'!$J$154</definedName>
    <definedName name="VarEnd">'Variable Definitions'!$A$53</definedName>
    <definedName name="WQControls1">Controls!$F$65</definedName>
    <definedName name="WQControls2">Controls!$F$113</definedName>
    <definedName name="WQControls3">Controls!$F$162</definedName>
    <definedName name="WQFlow1">'Variable Definitions'!$E$66</definedName>
    <definedName name="WQFlow2">'Variable Definitions'!$E$114</definedName>
    <definedName name="WQFlow3">'Variable Definitions'!$E$162</definedName>
    <definedName name="WQInput">'Variable Definitions'!$J$134</definedName>
    <definedName name="WQVar">'Variable Definitions'!$A$55</definedName>
    <definedName name="WQVarEnd">'Variable Definitions'!$A$71</definedName>
  </definedNames>
  <calcPr calcId="171027"/>
</workbook>
</file>

<file path=xl/calcChain.xml><?xml version="1.0" encoding="utf-8"?>
<calcChain xmlns="http://schemas.openxmlformats.org/spreadsheetml/2006/main">
  <c r="M155" i="123" l="1"/>
  <c r="M154" i="123"/>
  <c r="M153" i="123"/>
  <c r="M152" i="123"/>
  <c r="M151" i="123"/>
  <c r="M150" i="123"/>
  <c r="M149" i="123"/>
  <c r="M148" i="123"/>
  <c r="M147" i="123"/>
  <c r="M69" i="123"/>
  <c r="M68" i="123"/>
  <c r="M67" i="123"/>
  <c r="M66" i="123"/>
  <c r="M65" i="123"/>
  <c r="M64" i="123"/>
  <c r="M63" i="123"/>
  <c r="M62" i="123"/>
  <c r="M61" i="123"/>
  <c r="M60" i="123"/>
  <c r="M59" i="123"/>
  <c r="M58" i="123"/>
  <c r="M57" i="123"/>
  <c r="M56" i="123"/>
  <c r="M55" i="123"/>
  <c r="M54" i="123"/>
  <c r="M53" i="123"/>
  <c r="M52" i="123"/>
  <c r="M51" i="123"/>
  <c r="M50" i="123"/>
  <c r="M49" i="123"/>
  <c r="M47" i="123"/>
  <c r="M46" i="123"/>
  <c r="M45" i="123"/>
  <c r="M30" i="123"/>
  <c r="M7" i="123"/>
  <c r="M6" i="123"/>
  <c r="M5" i="123"/>
  <c r="M4" i="123"/>
  <c r="M3" i="123"/>
</calcChain>
</file>

<file path=xl/comments1.xml><?xml version="1.0" encoding="utf-8"?>
<comments xmlns="http://schemas.openxmlformats.org/spreadsheetml/2006/main">
  <authors>
    <author>Isabelle Morin</author>
  </authors>
  <commentList>
    <comment ref="F2" authorId="0" shapeId="0">
      <text>
        <r>
          <rPr>
            <b/>
            <sz val="9"/>
            <color indexed="81"/>
            <rFont val="Tahoma"/>
            <family val="2"/>
          </rPr>
          <t>Select as many variables as desired by holding down the control key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<sst xmlns="http://schemas.openxmlformats.org/spreadsheetml/2006/main" count="1965" uniqueCount="947">
  <si>
    <t xml:space="preserve">Loaded Files: </t>
  </si>
  <si>
    <t xml:space="preserve">Data Name: </t>
  </si>
  <si>
    <t>DQGwExt</t>
  </si>
  <si>
    <t>DQGwWtp</t>
  </si>
  <si>
    <t>DQIbtWUseNp</t>
  </si>
  <si>
    <t>DQIbtWUseP</t>
  </si>
  <si>
    <t>DQResAsr</t>
  </si>
  <si>
    <t>DQResWtp</t>
  </si>
  <si>
    <t>DQSwAsr</t>
  </si>
  <si>
    <t>DQSwWtp</t>
  </si>
  <si>
    <t>DQUseNpIbtWw</t>
  </si>
  <si>
    <t>DQUsePIbtWw</t>
  </si>
  <si>
    <t>DQWMake</t>
  </si>
  <si>
    <t>DQWrfUseNp</t>
  </si>
  <si>
    <t>DQWtpUseNp</t>
  </si>
  <si>
    <t>DQWrfAsr</t>
  </si>
  <si>
    <t>DQWwtpWrf</t>
  </si>
  <si>
    <t>QRu</t>
  </si>
  <si>
    <t>QRe</t>
  </si>
  <si>
    <t>QUsePSep</t>
  </si>
  <si>
    <t>QUsePSepExt</t>
  </si>
  <si>
    <t>QUseNpSep</t>
  </si>
  <si>
    <t>QUseNpSepExt</t>
  </si>
  <si>
    <t>QSepGw</t>
  </si>
  <si>
    <t>QWtpGw</t>
  </si>
  <si>
    <t>QWtpUseP</t>
  </si>
  <si>
    <t>QGwWwtp</t>
  </si>
  <si>
    <t>QWwtpSw</t>
  </si>
  <si>
    <t>QWrfSw</t>
  </si>
  <si>
    <t>QAsrGw</t>
  </si>
  <si>
    <t>QGwSw</t>
  </si>
  <si>
    <t>VGw</t>
  </si>
  <si>
    <t>QSwRes</t>
  </si>
  <si>
    <t>VRes</t>
  </si>
  <si>
    <t>DQSwExt</t>
  </si>
  <si>
    <t>COmGwPump</t>
  </si>
  <si>
    <t>COmSwPump</t>
  </si>
  <si>
    <t>COmWtp</t>
  </si>
  <si>
    <t>COmWwtp</t>
  </si>
  <si>
    <t>COmWrf</t>
  </si>
  <si>
    <t>COmNpdist</t>
  </si>
  <si>
    <t>COmAsr</t>
  </si>
  <si>
    <t>COmIbtW</t>
  </si>
  <si>
    <t>COmIbtWw</t>
  </si>
  <si>
    <t>Description</t>
  </si>
  <si>
    <t>Category</t>
  </si>
  <si>
    <t>O&amp;M Costs</t>
  </si>
  <si>
    <t>Flow</t>
  </si>
  <si>
    <t>ASR</t>
  </si>
  <si>
    <t>Groundwater pumping</t>
  </si>
  <si>
    <t>IBT potable water</t>
  </si>
  <si>
    <t>IBT wastewater</t>
  </si>
  <si>
    <t>Surface water pumping</t>
  </si>
  <si>
    <t>Water treatment</t>
  </si>
  <si>
    <t>Wastewater treatment</t>
  </si>
  <si>
    <t>Groundwater to water treatment plant</t>
  </si>
  <si>
    <t>Groundwater to external</t>
  </si>
  <si>
    <t>Reservoir to ASR</t>
  </si>
  <si>
    <t>Reservoir to water treatment plant</t>
  </si>
  <si>
    <t>Surface water to ASR</t>
  </si>
  <si>
    <t>Surface water to external</t>
  </si>
  <si>
    <t>Surface water to water treatment plant</t>
  </si>
  <si>
    <t>Water deficits</t>
  </si>
  <si>
    <t>ASR to groundwater</t>
  </si>
  <si>
    <t>Groundwater to surface water</t>
  </si>
  <si>
    <t>Groundwater to wastewater treatment plant</t>
  </si>
  <si>
    <t>Recharge</t>
  </si>
  <si>
    <t>Runoff</t>
  </si>
  <si>
    <t>Septic systems to groundwater</t>
  </si>
  <si>
    <t>Surface water to reservoir</t>
  </si>
  <si>
    <t>Water treatment plant to groundwater</t>
  </si>
  <si>
    <t>Water treatment to potable use</t>
  </si>
  <si>
    <t>Wastewater treatment plant to surface water</t>
  </si>
  <si>
    <t>DALu11</t>
  </si>
  <si>
    <t>DPGwWwtpFix</t>
  </si>
  <si>
    <t>DPPrice</t>
  </si>
  <si>
    <t>DPWtpGwFix</t>
  </si>
  <si>
    <t>DQAsrAddl</t>
  </si>
  <si>
    <t>DQDmR</t>
  </si>
  <si>
    <t>DQGwPumpAddl</t>
  </si>
  <si>
    <t>DQIbtWAddl</t>
  </si>
  <si>
    <t>DQIbtWwAddl</t>
  </si>
  <si>
    <t>DQNpdistAddl</t>
  </si>
  <si>
    <t>DQSwPumpAddl</t>
  </si>
  <si>
    <t>DQWrfAddl</t>
  </si>
  <si>
    <t>DQWtpAddl</t>
  </si>
  <si>
    <t>DQWwtpAddl</t>
  </si>
  <si>
    <t>DVResAddl</t>
  </si>
  <si>
    <t>DPriceDummy</t>
  </si>
  <si>
    <t>CCGwPump</t>
  </si>
  <si>
    <t>CGwPump</t>
  </si>
  <si>
    <t>CCSwPump</t>
  </si>
  <si>
    <t>CSwPump</t>
  </si>
  <si>
    <t>CCWtp</t>
  </si>
  <si>
    <t>CWtp</t>
  </si>
  <si>
    <t>CWtpUaw</t>
  </si>
  <si>
    <t>CCWwtp</t>
  </si>
  <si>
    <t>CWwtp</t>
  </si>
  <si>
    <t>CGwWwtp</t>
  </si>
  <si>
    <t>CPPrice</t>
  </si>
  <si>
    <t>CDmd</t>
  </si>
  <si>
    <t>CCWrf</t>
  </si>
  <si>
    <t>CWrf</t>
  </si>
  <si>
    <t>CCNpdist</t>
  </si>
  <si>
    <t>CNpdist</t>
  </si>
  <si>
    <t>CCAsr</t>
  </si>
  <si>
    <t>CAsr</t>
  </si>
  <si>
    <t>CRes</t>
  </si>
  <si>
    <t>CCIbtW</t>
  </si>
  <si>
    <t>CIbtW</t>
  </si>
  <si>
    <t>CCIbtWw</t>
  </si>
  <si>
    <t>CIbtWw</t>
  </si>
  <si>
    <t>CWMake</t>
  </si>
  <si>
    <t>Step 2. Compare decision variables across scenarios</t>
  </si>
  <si>
    <t>Penalty for water deficit</t>
  </si>
  <si>
    <t>Additional surface water pumping capacity</t>
  </si>
  <si>
    <t>Additional water treatment capacity</t>
  </si>
  <si>
    <t>Additional wastewater treatment capacity</t>
  </si>
  <si>
    <t>Additional reservoir capacity</t>
  </si>
  <si>
    <t>Additional groundwater pumping capacity</t>
  </si>
  <si>
    <t>Additional ASR capacity</t>
  </si>
  <si>
    <t>Distribution system leak repairs</t>
  </si>
  <si>
    <t>Model Variables</t>
  </si>
  <si>
    <t>Variable Category</t>
  </si>
  <si>
    <t>Model Decisions</t>
  </si>
  <si>
    <t>Stormwater BMPs</t>
  </si>
  <si>
    <t>Leak repairs</t>
  </si>
  <si>
    <t>Additional infrastructure capacity</t>
  </si>
  <si>
    <t>Land conservation</t>
  </si>
  <si>
    <t>etc.</t>
  </si>
  <si>
    <t>This step will compare all decision variables across scenarios:</t>
  </si>
  <si>
    <t>Step 3. Compare time series across scenarios.</t>
  </si>
  <si>
    <t>StudyAreaName:</t>
  </si>
  <si>
    <t>ScenarioName:</t>
  </si>
  <si>
    <t>RunStartTime:</t>
  </si>
  <si>
    <t>StartDate:</t>
  </si>
  <si>
    <t>EndDate:</t>
  </si>
  <si>
    <t>ModelMode:</t>
  </si>
  <si>
    <t>Step 1: Load data from selected WMOST log files.</t>
  </si>
  <si>
    <t>Potable water to septic systems inside of study area</t>
  </si>
  <si>
    <t>Potable water to septic systems outside of study area</t>
  </si>
  <si>
    <t>Storage</t>
  </si>
  <si>
    <t>Demand reduction</t>
  </si>
  <si>
    <t>CLuSet1</t>
  </si>
  <si>
    <t>CGwMake</t>
  </si>
  <si>
    <t>Dummy variable</t>
  </si>
  <si>
    <t>Capital cost of groundwater pumping</t>
  </si>
  <si>
    <t>Total cost of groundwater pumping</t>
  </si>
  <si>
    <t>Capital cost of surface water pumping</t>
  </si>
  <si>
    <t>Total cost of surface water pumping</t>
  </si>
  <si>
    <t>Cost of consumer rate change</t>
  </si>
  <si>
    <t>Cost of direct demand reduction</t>
  </si>
  <si>
    <t>Total cost of reservoir management</t>
  </si>
  <si>
    <t>Penalty for groundwater deficit</t>
  </si>
  <si>
    <t>Scenario Name (edit here):</t>
  </si>
  <si>
    <t>Series Variables (select below)</t>
  </si>
  <si>
    <t>Units</t>
  </si>
  <si>
    <t>$</t>
  </si>
  <si>
    <t>$/yr</t>
  </si>
  <si>
    <t>MGD</t>
  </si>
  <si>
    <t>MG</t>
  </si>
  <si>
    <t>objective</t>
  </si>
  <si>
    <t>ac</t>
  </si>
  <si>
    <t>% of leaks</t>
  </si>
  <si>
    <t>Precipitation Change</t>
  </si>
  <si>
    <t>Temperature Change</t>
  </si>
  <si>
    <t>Avg Annual Precip</t>
  </si>
  <si>
    <t>Avg Temperature</t>
  </si>
  <si>
    <t>Table 1: Model Decisions Dictionary</t>
  </si>
  <si>
    <t>The original WMOST model was created in 2007 (Zoltay et al. 2010). WMOST development is sponsored by EPA. WMOST is maintained by Abt Associates.</t>
  </si>
  <si>
    <t>INTRODUCTION</t>
  </si>
  <si>
    <t>NAVIGATION</t>
  </si>
  <si>
    <t xml:space="preserve">Compatible with Microsoft Excel 2010, 2013, and 2016© </t>
  </si>
  <si>
    <t>Please refer to the user guide for detailed instructions for using this tool.</t>
  </si>
  <si>
    <t>● The WMOST model allows users to evaluate the effect of management options under various climate change scenarios to support robust decision-making.</t>
  </si>
  <si>
    <t xml:space="preserve">● The WMOST Climate Scenario Viewer and Comparison Post Processor was created to provide a  screening interface for WMOST to facilitate comparison across a series of WMOST runs that span a range of climate futures or any other scenario specifications. </t>
  </si>
  <si>
    <t>Objective cost</t>
  </si>
  <si>
    <t>Climate Scenario Viewer and Comparison Post Processor</t>
  </si>
  <si>
    <t>Watershed Management Optimization Support Tool (WMOST) 
ScenCompare</t>
  </si>
  <si>
    <t>deg F</t>
  </si>
  <si>
    <t>NDateHydro</t>
  </si>
  <si>
    <t>Dt</t>
  </si>
  <si>
    <t>days in time step</t>
  </si>
  <si>
    <t>NLu</t>
  </si>
  <si>
    <t># HRUs</t>
  </si>
  <si>
    <t>-</t>
  </si>
  <si>
    <t>ALuBase</t>
  </si>
  <si>
    <t>acre</t>
  </si>
  <si>
    <t>EIALu</t>
  </si>
  <si>
    <t>fraction</t>
  </si>
  <si>
    <t>InfiltLu</t>
  </si>
  <si>
    <t>in/hr</t>
  </si>
  <si>
    <t>NLuSet</t>
  </si>
  <si>
    <t># of HRU Sets</t>
  </si>
  <si>
    <t>ALuMin</t>
  </si>
  <si>
    <t>ALuMax</t>
  </si>
  <si>
    <t>CCLu</t>
  </si>
  <si>
    <t>$/acre</t>
  </si>
  <si>
    <t>COmLu</t>
  </si>
  <si>
    <t>$/acre/yr</t>
  </si>
  <si>
    <t>NWUser</t>
  </si>
  <si>
    <t># of Water Users</t>
  </si>
  <si>
    <t>PConsUsePI</t>
  </si>
  <si>
    <t>%</t>
  </si>
  <si>
    <t>QUsePI</t>
  </si>
  <si>
    <t>MG/time step</t>
  </si>
  <si>
    <t>PUseNp</t>
  </si>
  <si>
    <t>ElasWUser</t>
  </si>
  <si>
    <t>CCDmPrice</t>
  </si>
  <si>
    <t>COmDmPrice</t>
  </si>
  <si>
    <t>PPriceMax</t>
  </si>
  <si>
    <t>CCDm</t>
  </si>
  <si>
    <t>COmDm</t>
  </si>
  <si>
    <t>QDmRedMax</t>
  </si>
  <si>
    <t>KGw</t>
  </si>
  <si>
    <t>1/time step</t>
  </si>
  <si>
    <t>VGwI</t>
  </si>
  <si>
    <t>VGwMin</t>
  </si>
  <si>
    <t>VGwMax</t>
  </si>
  <si>
    <t>ExGwMake</t>
  </si>
  <si>
    <t>COmGwMake</t>
  </si>
  <si>
    <t>$/MGD</t>
  </si>
  <si>
    <t>QGwPt</t>
  </si>
  <si>
    <t>QPtGw</t>
  </si>
  <si>
    <t>QExtGw</t>
  </si>
  <si>
    <t>QGwExtMin</t>
  </si>
  <si>
    <t>VResI</t>
  </si>
  <si>
    <t>VResMin</t>
  </si>
  <si>
    <t>VResMaxI</t>
  </si>
  <si>
    <t>VResMaxAddl</t>
  </si>
  <si>
    <t>CCRes</t>
  </si>
  <si>
    <t>$/MG</t>
  </si>
  <si>
    <t>COmRes</t>
  </si>
  <si>
    <t>ExVSw</t>
  </si>
  <si>
    <t>FlagSwExt</t>
  </si>
  <si>
    <t>COmWMake</t>
  </si>
  <si>
    <t>ExWMake</t>
  </si>
  <si>
    <t>QSwPt</t>
  </si>
  <si>
    <t>QPtSw</t>
  </si>
  <si>
    <t>QExtSw</t>
  </si>
  <si>
    <t>QResPt</t>
  </si>
  <si>
    <t>QSwMin</t>
  </si>
  <si>
    <t>QSwMax</t>
  </si>
  <si>
    <t>QSwExtMin</t>
  </si>
  <si>
    <t>QSwExtMax</t>
  </si>
  <si>
    <t>TPlan</t>
  </si>
  <si>
    <t>years</t>
  </si>
  <si>
    <t>PInt</t>
  </si>
  <si>
    <t>RUseP</t>
  </si>
  <si>
    <t>$/HCF</t>
  </si>
  <si>
    <t>RfUseP</t>
  </si>
  <si>
    <t>$/month</t>
  </si>
  <si>
    <t>CCGwPumpU</t>
  </si>
  <si>
    <t>COmGwPumpU</t>
  </si>
  <si>
    <t>QGwPumpI</t>
  </si>
  <si>
    <t>TGwPumpExist</t>
  </si>
  <si>
    <t>TGwPumpNew</t>
  </si>
  <si>
    <t>ExGwPump</t>
  </si>
  <si>
    <t>CCSwPumpU</t>
  </si>
  <si>
    <t>COmSwPumpU</t>
  </si>
  <si>
    <t>QSwPumpI</t>
  </si>
  <si>
    <t>TSwPumpExist</t>
  </si>
  <si>
    <t>TSwPumpNew</t>
  </si>
  <si>
    <t>ExSwPump</t>
  </si>
  <si>
    <t>CCWtpU</t>
  </si>
  <si>
    <t>COmWtpU</t>
  </si>
  <si>
    <t>QWtpMaxI</t>
  </si>
  <si>
    <t>TWtpExist</t>
  </si>
  <si>
    <t>TWtpNew</t>
  </si>
  <si>
    <t>CCWtpUaw</t>
  </si>
  <si>
    <t>COmWtpUaw</t>
  </si>
  <si>
    <t>$/year</t>
  </si>
  <si>
    <t>PWtpGwFixmax</t>
  </si>
  <si>
    <t>ExWtp</t>
  </si>
  <si>
    <t>RWw</t>
  </si>
  <si>
    <t>RfWw</t>
  </si>
  <si>
    <t>CCWwtpU</t>
  </si>
  <si>
    <t>COmWwtpU</t>
  </si>
  <si>
    <t>QWwtpMaxI</t>
  </si>
  <si>
    <t>TWwtpExist</t>
  </si>
  <si>
    <t>TWwtpNew</t>
  </si>
  <si>
    <t>PGwWwtpI</t>
  </si>
  <si>
    <t>CCGwWwtp</t>
  </si>
  <si>
    <t>COmGwWwtp</t>
  </si>
  <si>
    <t>PGwWwtpFixmax</t>
  </si>
  <si>
    <t>WwFlag</t>
  </si>
  <si>
    <t>ExWwtp</t>
  </si>
  <si>
    <t>CCWrfU</t>
  </si>
  <si>
    <t>COmWrfU</t>
  </si>
  <si>
    <t>QWrfMaxI</t>
  </si>
  <si>
    <t>TWrfExist</t>
  </si>
  <si>
    <t>TWrfNew</t>
  </si>
  <si>
    <t>ExWrf</t>
  </si>
  <si>
    <t>RUseNp</t>
  </si>
  <si>
    <t>RfUseNp</t>
  </si>
  <si>
    <t>CCNpdistU</t>
  </si>
  <si>
    <t>COmNpdistU</t>
  </si>
  <si>
    <t>QNpDistMaxI</t>
  </si>
  <si>
    <t>TNpdistExist</t>
  </si>
  <si>
    <t>TNpdistNew</t>
  </si>
  <si>
    <t>ExNpDist</t>
  </si>
  <si>
    <t>CCAsrU</t>
  </si>
  <si>
    <t>COmAsrU</t>
  </si>
  <si>
    <t>QAsrMaxI</t>
  </si>
  <si>
    <t>TAsrExist</t>
  </si>
  <si>
    <t>TAsrNew</t>
  </si>
  <si>
    <t>ExAsr</t>
  </si>
  <si>
    <t>PSep</t>
  </si>
  <si>
    <t>PSepExt</t>
  </si>
  <si>
    <t>CIbtWU</t>
  </si>
  <si>
    <t>CIbtWwU</t>
  </si>
  <si>
    <t>CCIbtWU</t>
  </si>
  <si>
    <t>CCIbtWwU</t>
  </si>
  <si>
    <t>QIbtWMaxDay</t>
  </si>
  <si>
    <t>QIbtWMaxYear</t>
  </si>
  <si>
    <t>MG/year</t>
  </si>
  <si>
    <t>QIbtWwMaxDay</t>
  </si>
  <si>
    <t>QIbtWwMaxYear</t>
  </si>
  <si>
    <t>QIbtWAddlMaxDay</t>
  </si>
  <si>
    <t>QIbtWwAddlMaxDay</t>
  </si>
  <si>
    <t>QIbtWMaxMonth</t>
  </si>
  <si>
    <t>MG/month</t>
  </si>
  <si>
    <t>QIbtWwMaxMonth</t>
  </si>
  <si>
    <t>ObsFlow</t>
  </si>
  <si>
    <t>cfs</t>
  </si>
  <si>
    <t>DQGwMake</t>
  </si>
  <si>
    <t>CFlood</t>
  </si>
  <si>
    <t>unitless</t>
  </si>
  <si>
    <t>Average annual precipitation in model time period</t>
  </si>
  <si>
    <t>Average daily temperature in model period</t>
  </si>
  <si>
    <t>Number of time steps in model</t>
  </si>
  <si>
    <t>Number of days in timestep (1 = daily, &gt;28 = monthly)</t>
  </si>
  <si>
    <t>Number of HRUs</t>
  </si>
  <si>
    <t>Effective impervious area of HRUs</t>
  </si>
  <si>
    <t>Infiltration rate of HRUs</t>
  </si>
  <si>
    <t>Number of water users</t>
  </si>
  <si>
    <t>Minimum areas for each land use management set</t>
  </si>
  <si>
    <t>Maximum areas for each land use management set</t>
  </si>
  <si>
    <t>Initial or capital cost for managing land use set</t>
  </si>
  <si>
    <t>O&amp;M costs for managing land use set</t>
  </si>
  <si>
    <t>Initial percent consumptive use for potable water</t>
  </si>
  <si>
    <t>Potable water demand</t>
  </si>
  <si>
    <t>PConsUseNp</t>
  </si>
  <si>
    <t>Percent of nonpotable use that is consumptive use</t>
  </si>
  <si>
    <t>Price elasiticities for water users</t>
  </si>
  <si>
    <t>ResArea</t>
  </si>
  <si>
    <t>ExResArea</t>
  </si>
  <si>
    <t>XGwI</t>
  </si>
  <si>
    <t>GwRem0</t>
  </si>
  <si>
    <t>GwRem1</t>
  </si>
  <si>
    <t>LPtGw</t>
  </si>
  <si>
    <t>LExtGw</t>
  </si>
  <si>
    <t>XResI</t>
  </si>
  <si>
    <t>LPtRes</t>
  </si>
  <si>
    <t>LPtSw</t>
  </si>
  <si>
    <t>ResRem0</t>
  </si>
  <si>
    <t>ResRem1</t>
  </si>
  <si>
    <t>XSwTarget</t>
  </si>
  <si>
    <t>XResTarget</t>
  </si>
  <si>
    <t>XSepAvEff</t>
  </si>
  <si>
    <t>XIbtWUse</t>
  </si>
  <si>
    <t>ObsConc</t>
  </si>
  <si>
    <t>Initial cost of implementing Dm via price change</t>
  </si>
  <si>
    <t>O&amp;M cost of implementing Dm via price change</t>
  </si>
  <si>
    <t>Initial cost for implementing aggregate of Dm practices</t>
  </si>
  <si>
    <t>O&amp;M annnual cost for implementing aggregate of Dm practices</t>
  </si>
  <si>
    <t>Max demand reduction for implementing aggregate of Dm practic</t>
  </si>
  <si>
    <t>Gw recession coefficient</t>
  </si>
  <si>
    <t>Initial Gw aquifer volume</t>
  </si>
  <si>
    <t>Minimum Gw aquifer volume</t>
  </si>
  <si>
    <t>Maximum Gw aquifer volume</t>
  </si>
  <si>
    <t>Private/other Gw withdrawals</t>
  </si>
  <si>
    <t>Private/other Gw discharges</t>
  </si>
  <si>
    <t>External Gw inflow (from other watershed if Gw and Sw watersh</t>
  </si>
  <si>
    <t>Minimum Gw flow out of basin</t>
  </si>
  <si>
    <t>Make-up Gw Penalty Flag</t>
  </si>
  <si>
    <t>Cost for Make-Up Gw</t>
  </si>
  <si>
    <t>Initial constituent concentration of Gw</t>
  </si>
  <si>
    <t>0th order removal rates</t>
  </si>
  <si>
    <t>1st order removal rates</t>
  </si>
  <si>
    <t>Private Gw loadings</t>
  </si>
  <si>
    <t>External Gw loadings</t>
  </si>
  <si>
    <t>Initial volume in reservoir</t>
  </si>
  <si>
    <t>Minimum volume to be maintained in reservoir (ie: dead storag</t>
  </si>
  <si>
    <t>Existing maximum volume of the reservoir</t>
  </si>
  <si>
    <t>Maximum additional capacity of reservoir volume</t>
  </si>
  <si>
    <t>Initial/capital cost of additional surface storage (expand re</t>
  </si>
  <si>
    <t>O&amp;M cost of additional surface water storage</t>
  </si>
  <si>
    <t>Private/other surface water withdrawals</t>
  </si>
  <si>
    <t>Private/other surface water discharges</t>
  </si>
  <si>
    <t>External inflow to surface water (e.g., if not modeling headw</t>
  </si>
  <si>
    <t>Minimum in-stream flow requirement</t>
  </si>
  <si>
    <t>Minimum Sw flow out of basin</t>
  </si>
  <si>
    <t>Max Sw flow out of basin</t>
  </si>
  <si>
    <t>Maximum in-stream flow</t>
  </si>
  <si>
    <t>Flag to exclude additional Sw/Res storage</t>
  </si>
  <si>
    <t>Private/other reservoir withdrawals</t>
  </si>
  <si>
    <t>User indicated flag to model flow out of reservoir to ext sw</t>
  </si>
  <si>
    <t>Make-up Sw Penalty Flag</t>
  </si>
  <si>
    <t>Cost for Make-Up Sw</t>
  </si>
  <si>
    <t>Initial constituent concentration of reservoir</t>
  </si>
  <si>
    <t>Private/other reservoir discharge loadings</t>
  </si>
  <si>
    <t>Private/other surface water discharge loadings</t>
  </si>
  <si>
    <t>0th order reservoir removal rates</t>
  </si>
  <si>
    <t>1st order reservoir removal rates</t>
  </si>
  <si>
    <t>Surface water target concentrations</t>
  </si>
  <si>
    <t>Reservoir allowable target concentrations</t>
  </si>
  <si>
    <t>Reservoir area</t>
  </si>
  <si>
    <t>Decision if modeling 1st order removal in proportion to surfa</t>
  </si>
  <si>
    <t>Percent of each water use on septic system recharging within</t>
  </si>
  <si>
    <t>Percent of each water use on septic system recharging outside</t>
  </si>
  <si>
    <t>Cost of purchasing potable water from another basin</t>
  </si>
  <si>
    <t>Cost of purchasing wastewater from another basin</t>
  </si>
  <si>
    <t>Initial cost of aquiring additional rights for IBT water</t>
  </si>
  <si>
    <t>Initial cost of aquiring additional rights for IBT wastewater</t>
  </si>
  <si>
    <t>Monthly max IBT for importing potable water</t>
  </si>
  <si>
    <t>Monthly max IBT for exporting wastewater</t>
  </si>
  <si>
    <t>Maximum IBT per day for importing potable water</t>
  </si>
  <si>
    <t>Maximum IBT per year for exporting wastewater</t>
  </si>
  <si>
    <t>Maximum additional IBT capacity per day for importing potable</t>
  </si>
  <si>
    <t>Maximum additional IBT capacity per day for exporting wastewa</t>
  </si>
  <si>
    <t>Average constituent concentration for interbasin transfer int</t>
  </si>
  <si>
    <t>Measured flow time series for calibration/validation</t>
  </si>
  <si>
    <t>Measured concentration time series for WQ calibration/validat</t>
  </si>
  <si>
    <t>AvgTemp</t>
  </si>
  <si>
    <t>AvgAnnualPrecip</t>
  </si>
  <si>
    <t>Interest rate for annualizing costs</t>
  </si>
  <si>
    <t>Consumer</t>
  </si>
  <si>
    <t>Initial or capital cost for additional Gw pumping capacity</t>
  </si>
  <si>
    <t>O&amp;M costs for Gw pumping</t>
  </si>
  <si>
    <t>Initial Gw pumping capacity</t>
  </si>
  <si>
    <t>Remaining lifetime of existing GwPump</t>
  </si>
  <si>
    <t>Lifetime of new construction for additional capacity for GwPump</t>
  </si>
  <si>
    <t>Initial or capital cost for additional Sw pumping capacity</t>
  </si>
  <si>
    <t>O&amp;M costs for Sw pumping</t>
  </si>
  <si>
    <t>Initial Sw pumping capacity</t>
  </si>
  <si>
    <t>Remaining lifetime of existing SwPump</t>
  </si>
  <si>
    <t>Lifetime of new construction for additional capacity for SwPump</t>
  </si>
  <si>
    <t>Initial or capital cost for additional water treatment plant (WTP) capacity</t>
  </si>
  <si>
    <t>O&amp;M cost for WTP</t>
  </si>
  <si>
    <t>Remaining lifetime of existing WTP</t>
  </si>
  <si>
    <t>Lifetime of new construction for additional capacity for WTP</t>
  </si>
  <si>
    <t>Maximum initial capacity of WTP</t>
  </si>
  <si>
    <t>initial cost for reducing unaccounted-for-water (UAW)</t>
  </si>
  <si>
    <t>O&amp;M cost for maintaining reduction in UAW</t>
  </si>
  <si>
    <t>maximum percent of leak from WTP distribthat can be eliminated</t>
  </si>
  <si>
    <t>Flag for excluding new/additional GW pumping capacity</t>
  </si>
  <si>
    <t>Flag for excluding new/additional SW pumping capacity</t>
  </si>
  <si>
    <t>Flag for excluding new/additional WTP capacity</t>
  </si>
  <si>
    <t>Initial or capital cost for additional tertiary water treatment plant capacity</t>
  </si>
  <si>
    <t>Lifetime of new construction for additional capacity for tertiary WTP</t>
  </si>
  <si>
    <t>O&amp;M cost for Wwtp</t>
  </si>
  <si>
    <t>Remaining lifetime of existing Wwtp</t>
  </si>
  <si>
    <t>Lifetime of new construction for additional capacity for Wwtp</t>
  </si>
  <si>
    <t>Existing maximum capacity of Wwtp</t>
  </si>
  <si>
    <t>Initial infiltration of Gw into Wwtp collection system</t>
  </si>
  <si>
    <t>O&amp;M cost for maintaining reduction in Gw infiltration</t>
  </si>
  <si>
    <t>maximum percent of gw infiltration that can be eliminated</t>
  </si>
  <si>
    <t>Wastewater charge based on water or ww flow</t>
  </si>
  <si>
    <t>Flag for excluding new/additional WWTP capacity</t>
  </si>
  <si>
    <t>Initial or capital cost for additional tertiary wastewater treatment plant capacity</t>
  </si>
  <si>
    <t>Initial or capital cost for nonpotable distribution system(Npdist) capacity</t>
  </si>
  <si>
    <t>O&amp;M cost for Npdist</t>
  </si>
  <si>
    <t>Lifet time of new Npdist system</t>
  </si>
  <si>
    <t>Remaining lifetime of existing Npdist</t>
  </si>
  <si>
    <t>Existing capacity of Npdist</t>
  </si>
  <si>
    <t>Flag for excluding new/additional nonpotable distribution system capacity</t>
  </si>
  <si>
    <t>O&amp;M cost for Asr</t>
  </si>
  <si>
    <t>Remaining lifetime of existing Asr</t>
  </si>
  <si>
    <t>Lifetime of new construction for additional capacity for Asr</t>
  </si>
  <si>
    <t>Initial maximum capacity of Asr</t>
  </si>
  <si>
    <t>Flag for excluding new/additional ASR capacity</t>
  </si>
  <si>
    <t>Flag for excluding new/additional ASR treatment capacity</t>
  </si>
  <si>
    <t>ExAsrTr</t>
  </si>
  <si>
    <t>XWtpAvEff</t>
  </si>
  <si>
    <t>XWwtpAvEff</t>
  </si>
  <si>
    <t>XWrfAvEff</t>
  </si>
  <si>
    <t>XAsrAvEff</t>
  </si>
  <si>
    <t>LWuserUseP</t>
  </si>
  <si>
    <t>lbs</t>
  </si>
  <si>
    <t>LWuserUseNp</t>
  </si>
  <si>
    <t>mg/L</t>
  </si>
  <si>
    <t>mg/L/time step</t>
  </si>
  <si>
    <t>1/timestep</t>
  </si>
  <si>
    <t>LResTarget</t>
  </si>
  <si>
    <t>LSwTarget</t>
  </si>
  <si>
    <t>lbs/time step</t>
  </si>
  <si>
    <t>LRu1</t>
  </si>
  <si>
    <t>lbs/day</t>
  </si>
  <si>
    <t>LRe1</t>
  </si>
  <si>
    <t>LGw1</t>
  </si>
  <si>
    <t>XGwF1</t>
  </si>
  <si>
    <t>XUseP1</t>
  </si>
  <si>
    <t>XUseNp1</t>
  </si>
  <si>
    <t>XSwF1</t>
  </si>
  <si>
    <t>LRes1</t>
  </si>
  <si>
    <t>XResF1</t>
  </si>
  <si>
    <t>LWtpUseP1</t>
  </si>
  <si>
    <t>LWtpUseNp1</t>
  </si>
  <si>
    <t>LWtpGw1</t>
  </si>
  <si>
    <t>LWwtpSw1</t>
  </si>
  <si>
    <t>LWwtpWrf1</t>
  </si>
  <si>
    <t>LWrfUseNp1</t>
  </si>
  <si>
    <t>LWrfAsr1</t>
  </si>
  <si>
    <t>LWrfSw1</t>
  </si>
  <si>
    <t>LAsrGw1</t>
  </si>
  <si>
    <t>LGwSw1</t>
  </si>
  <si>
    <t>LGwWtp1</t>
  </si>
  <si>
    <t>LGwWwtp1</t>
  </si>
  <si>
    <t>LGwExt1</t>
  </si>
  <si>
    <t>LGwPt1</t>
  </si>
  <si>
    <t>LUseP1</t>
  </si>
  <si>
    <t>LUsePSep1</t>
  </si>
  <si>
    <t>LUsePSepExt1</t>
  </si>
  <si>
    <t>LUsePIbtWw1</t>
  </si>
  <si>
    <t>LUseNp1</t>
  </si>
  <si>
    <t>LUseNpSep1</t>
  </si>
  <si>
    <t>LUseNpSepExt1</t>
  </si>
  <si>
    <t>LUseNpIbtWw1</t>
  </si>
  <si>
    <t>LSwRes1</t>
  </si>
  <si>
    <t>LSwAsr1</t>
  </si>
  <si>
    <t>LSwWtp1</t>
  </si>
  <si>
    <t>LSwPt1</t>
  </si>
  <si>
    <t>LResPt1</t>
  </si>
  <si>
    <t>LResWtp1</t>
  </si>
  <si>
    <t>LResAsr1</t>
  </si>
  <si>
    <t>LSwExt1</t>
  </si>
  <si>
    <t>LSepGw1</t>
  </si>
  <si>
    <t>NLuName,1</t>
  </si>
  <si>
    <t>NLuSetName,1</t>
  </si>
  <si>
    <t>Baseline land area of HRUs</t>
  </si>
  <si>
    <t>Number of managed sets</t>
  </si>
  <si>
    <t>planning horizon in years (time over which costs are annualized)</t>
  </si>
  <si>
    <t>Consumer price for water (fixed-fee)</t>
  </si>
  <si>
    <t>Consumer price for water (variable-fee)</t>
  </si>
  <si>
    <t>Upgraded WWTP average constituent effluent concentration</t>
  </si>
  <si>
    <t>Upgraded WTP average constituent effluent concentration</t>
  </si>
  <si>
    <t>Lifetime of new construction for additional capacity for upgraded WWTP</t>
  </si>
  <si>
    <t>ASR average constituent effluent concentration</t>
  </si>
  <si>
    <t>Groundwater deficits</t>
  </si>
  <si>
    <t>Capital cost of reservoir management</t>
  </si>
  <si>
    <t>Initial or capital cost for enahanced septic treatment</t>
  </si>
  <si>
    <t>Lifetime of new construction for enhanced septic treatment</t>
  </si>
  <si>
    <t>Flag for excluding new enhanced septic treatment capacity</t>
  </si>
  <si>
    <t>Flag for excluding upgraded WWTP capacity</t>
  </si>
  <si>
    <t>Flag for excluding new upgraded WTP capacity</t>
  </si>
  <si>
    <t>WTP average constituent effluent concentration</t>
  </si>
  <si>
    <t>WTP maximum constituent influent concentration</t>
  </si>
  <si>
    <t>WWTP average constituent effluent concentration</t>
  </si>
  <si>
    <t>WWTP maximum constituent influent concentration</t>
  </si>
  <si>
    <t>Potable water user average daily wastewater loadings</t>
  </si>
  <si>
    <t>Nonpotable water user average daily wastewater loadings</t>
  </si>
  <si>
    <t>Surface water target loading</t>
  </si>
  <si>
    <t>Reservoir target loading</t>
  </si>
  <si>
    <t>Reservoir management</t>
  </si>
  <si>
    <t>Capital cost for new enhanced septic treatment</t>
  </si>
  <si>
    <t>Fraction of septic loadings receiving enhanced treatment</t>
  </si>
  <si>
    <t>Capital cost for new upgraded WWTP</t>
  </si>
  <si>
    <t>Fraction of WTP loadings receiving upgraded treatment</t>
  </si>
  <si>
    <t>Capital cost for new upgraded WTP</t>
  </si>
  <si>
    <t>Fraction of WWTP loadings receiving upgraded treatment</t>
  </si>
  <si>
    <t>Loadings</t>
  </si>
  <si>
    <t>Concentration</t>
  </si>
  <si>
    <t>QUseNp</t>
  </si>
  <si>
    <t>QUseP</t>
  </si>
  <si>
    <t>inches per year</t>
  </si>
  <si>
    <t>Additional nonpotable water distribution system capacity</t>
  </si>
  <si>
    <t>Nonpotable distribution system</t>
  </si>
  <si>
    <t>Capital cost of nonpotable distribution system</t>
  </si>
  <si>
    <t>Total cost of nonpotable distribution system</t>
  </si>
  <si>
    <t>Potable water use</t>
  </si>
  <si>
    <t>HRU Managed Set Names</t>
  </si>
  <si>
    <t>CESep</t>
  </si>
  <si>
    <t>DPESep</t>
  </si>
  <si>
    <t>CUWtp</t>
  </si>
  <si>
    <t>DPUWtp</t>
  </si>
  <si>
    <t>CUWwtp</t>
  </si>
  <si>
    <t>DPUWwtp</t>
  </si>
  <si>
    <t>LSw1</t>
  </si>
  <si>
    <t>LAsrGw2</t>
  </si>
  <si>
    <t>LGw2</t>
  </si>
  <si>
    <t>LGwExt2</t>
  </si>
  <si>
    <t>LGwPt2</t>
  </si>
  <si>
    <t>LGwSw2</t>
  </si>
  <si>
    <t>LGwWtp2</t>
  </si>
  <si>
    <t>LGwWwtp2</t>
  </si>
  <si>
    <t>LRe2</t>
  </si>
  <si>
    <t>LRes2</t>
  </si>
  <si>
    <t>LResAsr2</t>
  </si>
  <si>
    <t>LResPt2</t>
  </si>
  <si>
    <t>LResWtp2</t>
  </si>
  <si>
    <t>LRu2</t>
  </si>
  <si>
    <t>LSepGw2</t>
  </si>
  <si>
    <t>LSwAsr2</t>
  </si>
  <si>
    <t>LSwExt2</t>
  </si>
  <si>
    <t>LSw2</t>
  </si>
  <si>
    <t>LSwPt2</t>
  </si>
  <si>
    <t>LSwRes2</t>
  </si>
  <si>
    <t>LSwWtp2</t>
  </si>
  <si>
    <t>LUseNp2</t>
  </si>
  <si>
    <t>LUseNpIbtWw2</t>
  </si>
  <si>
    <t>LUseNpSep2</t>
  </si>
  <si>
    <t>LUseNpSepExt2</t>
  </si>
  <si>
    <t>LUseP2</t>
  </si>
  <si>
    <t>LUsePIbtWw2</t>
  </si>
  <si>
    <t>LUsePSep2</t>
  </si>
  <si>
    <t>LUsePSepExt2</t>
  </si>
  <si>
    <t>LWrfAsr2</t>
  </si>
  <si>
    <t>LWrfSw2</t>
  </si>
  <si>
    <t>LWrfUseNp2</t>
  </si>
  <si>
    <t>LWtpGw2</t>
  </si>
  <si>
    <t>LWtpUseNp2</t>
  </si>
  <si>
    <t>LWtpUseP2</t>
  </si>
  <si>
    <t>LWwtpSw2</t>
  </si>
  <si>
    <t>LWwtpWrf2</t>
  </si>
  <si>
    <t>NCons</t>
  </si>
  <si>
    <t>XGwF2</t>
  </si>
  <si>
    <t>XResF2</t>
  </si>
  <si>
    <t>XSwF2</t>
  </si>
  <si>
    <t>XUseNp2</t>
  </si>
  <si>
    <t>XUseP2</t>
  </si>
  <si>
    <t>ExUWtp</t>
  </si>
  <si>
    <t>ExUWwtp</t>
  </si>
  <si>
    <t>ExESep</t>
  </si>
  <si>
    <t>XUWtpAvEff</t>
  </si>
  <si>
    <t>XUWwtpAvEff</t>
  </si>
  <si>
    <t>CCUWtpU</t>
  </si>
  <si>
    <t>TUWtpNew</t>
  </si>
  <si>
    <t>CCUWwtpU</t>
  </si>
  <si>
    <t>TUWwtpNew</t>
  </si>
  <si>
    <t>CCESepU</t>
  </si>
  <si>
    <t>TESepNew</t>
  </si>
  <si>
    <t>Number of constituents</t>
  </si>
  <si>
    <r>
      <t xml:space="preserve">Note: Numeric identifiers on variable CLuSet[S] represent the cost decision for managed set number </t>
    </r>
    <r>
      <rPr>
        <b/>
        <i/>
        <sz val="11"/>
        <color theme="1"/>
        <rFont val="Calibri"/>
        <family val="2"/>
        <scheme val="minor"/>
      </rPr>
      <t>S.</t>
    </r>
  </si>
  <si>
    <r>
      <t xml:space="preserve">Numeric identifiers on variable DALu[L &amp; S] represent the land area decision for HRU number </t>
    </r>
    <r>
      <rPr>
        <b/>
        <i/>
        <sz val="11"/>
        <color theme="1"/>
        <rFont val="Calibri"/>
        <family val="2"/>
        <scheme val="minor"/>
      </rPr>
      <t>L</t>
    </r>
    <r>
      <rPr>
        <b/>
        <sz val="11"/>
        <color theme="1"/>
        <rFont val="Calibri"/>
        <family val="2"/>
        <scheme val="minor"/>
      </rPr>
      <t xml:space="preserve"> and managed set number </t>
    </r>
    <r>
      <rPr>
        <b/>
        <i/>
        <sz val="11"/>
        <color theme="1"/>
        <rFont val="Calibri"/>
        <family val="2"/>
        <scheme val="minor"/>
      </rPr>
      <t>S.</t>
    </r>
  </si>
  <si>
    <t>Table 2: Variables Dictionary</t>
  </si>
  <si>
    <t>Table 3: Model Input Data Dictionary</t>
  </si>
  <si>
    <t>Total Cost</t>
  </si>
  <si>
    <t>Groundwater volume</t>
  </si>
  <si>
    <t>Reservoir volume</t>
  </si>
  <si>
    <t>Aquifer storage and recovery (ASR)</t>
  </si>
  <si>
    <t>Water reuse facility (WRF)</t>
  </si>
  <si>
    <t>Wastewater treatment plant to WRF</t>
  </si>
  <si>
    <t>WRF to surface water</t>
  </si>
  <si>
    <t>ASR to groundwater (Constituent 1)</t>
  </si>
  <si>
    <t>Groundwater (Constituent 1)</t>
  </si>
  <si>
    <t>Groundwater to external (Constituent 1)</t>
  </si>
  <si>
    <t>Groundwater to private withdrawals (Constituent 1)</t>
  </si>
  <si>
    <t>Groundwater to surface water (Constituent 1)</t>
  </si>
  <si>
    <t>Groundwater to water treatment plant (Constituent 1)</t>
  </si>
  <si>
    <t>Groundwater to wastewater treatment plant (Constituent 1)</t>
  </si>
  <si>
    <t>Recharge (Constituent 1)</t>
  </si>
  <si>
    <t>Reservoir (Constituent 1)</t>
  </si>
  <si>
    <t>Reservoir to private withdrawals (Constituent 1)</t>
  </si>
  <si>
    <t>Reservoir to water treatment plant (Constituent 1)</t>
  </si>
  <si>
    <t>Runoff (Constituent 1)</t>
  </si>
  <si>
    <t>Septic systems to groundwater (Constituent 1)</t>
  </si>
  <si>
    <t>Surface water to external (Constituent 1)</t>
  </si>
  <si>
    <t>Surface water to private withdrawals (Constituent 1)</t>
  </si>
  <si>
    <t>Surface water to reservoir (Constituent 1)</t>
  </si>
  <si>
    <t>Surface water to water treatment plant (Constituent 1)</t>
  </si>
  <si>
    <t>Nonpotable water use (Constituent 1)</t>
  </si>
  <si>
    <t>Nonpotable water use to septic systems (Constituent 1)</t>
  </si>
  <si>
    <t>Nonpotable water use to external septic systems (Constituent 1)</t>
  </si>
  <si>
    <t>Potable water use (Constituent 1)</t>
  </si>
  <si>
    <t>Potable water use to septic systems (Constituent 1)</t>
  </si>
  <si>
    <t>Potable water use to external septic systems (Constituent 1)</t>
  </si>
  <si>
    <t>Water treatment plant to groundwater (Constituent 1)</t>
  </si>
  <si>
    <t>Water treatment plant to nonpotable water use (Constituent 1)</t>
  </si>
  <si>
    <t>Water treatment plant to potable water use (Constituent 1)</t>
  </si>
  <si>
    <t>Wastewater treatment plant to surface water (Constituent 1)</t>
  </si>
  <si>
    <t>Nonpotable water (Constituent 1)</t>
  </si>
  <si>
    <t>Potable water (Constituent 1)</t>
  </si>
  <si>
    <t>Reservoir to ASR (Constituent 1)</t>
  </si>
  <si>
    <t>Surface water to ASR (Constituent 1)</t>
  </si>
  <si>
    <t>Surface water (Constituent 1)</t>
  </si>
  <si>
    <t>Nonpotable water use to IBT wastewater (Constituent 1)</t>
  </si>
  <si>
    <t>Potable water use to IBT wastewater (Constituent 1)</t>
  </si>
  <si>
    <t>WRF to ASR (Constituent 1)</t>
  </si>
  <si>
    <t>WRF to ASR</t>
  </si>
  <si>
    <t>WRF to surface water (Constituent 1)</t>
  </si>
  <si>
    <t>WRF to nonpotable water use (Constituent 1)</t>
  </si>
  <si>
    <t>Watewater treatment plant to WRF (Constituent 1)</t>
  </si>
  <si>
    <t>Groundwater after decay (Constituent 1)</t>
  </si>
  <si>
    <t>Reservoir after decay (Constituent 1)</t>
  </si>
  <si>
    <t>Surface water after decay (Constituent 1)</t>
  </si>
  <si>
    <t>ASR to groundwater (Constituent 2)</t>
  </si>
  <si>
    <t>Groundwater (Constituent 2)</t>
  </si>
  <si>
    <t>Groundwater to external (Constituent 2)</t>
  </si>
  <si>
    <t>Groundwater to private withdrawals (Constituent 2)</t>
  </si>
  <si>
    <t>Groundwater to surface water (Constituent 2)</t>
  </si>
  <si>
    <t>Groundwater to water treatment plant (Constituent 2)</t>
  </si>
  <si>
    <t>Groundwater to wastewater treatment plant (Constituent 2)</t>
  </si>
  <si>
    <t>Recharge (Constituent 2)</t>
  </si>
  <si>
    <t>Reservoir (Constituent 2)</t>
  </si>
  <si>
    <t>Reservoir to ASR (Constituent 2)</t>
  </si>
  <si>
    <t>Reservoir to private withdrawals (Constituent 2)</t>
  </si>
  <si>
    <t>Reservoir to water treatment plant (Constituent 2)</t>
  </si>
  <si>
    <t>Runoff (Constituent 2)</t>
  </si>
  <si>
    <t>Septic systems to groundwater (Constituent 2)</t>
  </si>
  <si>
    <t>Surface water to ASR (Constituent 2)</t>
  </si>
  <si>
    <t>Surface water to external (Constituent 2)</t>
  </si>
  <si>
    <t>Surface water (Constituent 2)</t>
  </si>
  <si>
    <t>Surface water to private withdrawals (Constituent 2)</t>
  </si>
  <si>
    <t>Surface water to reservoir (Constituent 2)</t>
  </si>
  <si>
    <t>Surface water to water treatment plant (Constituent 2)</t>
  </si>
  <si>
    <t>Nonpotable water use (Constituent 2)</t>
  </si>
  <si>
    <t>Nonpotable water use to IBT wastewater (Constituent 2)</t>
  </si>
  <si>
    <t>Nonpotable water use to septic systems (Constituent 2)</t>
  </si>
  <si>
    <t>Nonpotable water use to external septic systems (Constituent 2)</t>
  </si>
  <si>
    <t>Potable water use (Constituent 2)</t>
  </si>
  <si>
    <t>Potable water use to IBT wastewater (Constituent 2)</t>
  </si>
  <si>
    <t>Potable water use to septic systems (Constituent 2)</t>
  </si>
  <si>
    <t>Potable water use to external septic systems (Constituent 2)</t>
  </si>
  <si>
    <t>WRF to ASR (Constituent 2)</t>
  </si>
  <si>
    <t>WRF to surface water (Constituent 2)</t>
  </si>
  <si>
    <t>WRF to nonpotable water use (Constituent 2)</t>
  </si>
  <si>
    <t>Water treatment plant to groundwater (Constituent 2)</t>
  </si>
  <si>
    <t>Water treatment plant to nonpotable water use (Constituent 2)</t>
  </si>
  <si>
    <t>Water treatment plant to potable water use (Constituent 2)</t>
  </si>
  <si>
    <t>Wastewater treatment plant to surface water (Constituent 2)</t>
  </si>
  <si>
    <t>Watewater treatment plant to WRF (Constituent 2)</t>
  </si>
  <si>
    <t>Groundwater after decay (Constituent 2)</t>
  </si>
  <si>
    <t>Reservoir after decay (Constituent 2)</t>
  </si>
  <si>
    <t>Surface water after decay (Constituent 2)</t>
  </si>
  <si>
    <t>Nonpotable water (Constituent 2)</t>
  </si>
  <si>
    <t>Potable water (Constituent 2)</t>
  </si>
  <si>
    <t>Percent of maximum potable water demand met by nonpotable</t>
  </si>
  <si>
    <t>Capital cost for additional wastewater treatment plant (Wwtp) capacity</t>
  </si>
  <si>
    <t>Initial cost for reducing Gw infiltration</t>
  </si>
  <si>
    <t>Total cost of ASR</t>
  </si>
  <si>
    <t>Capital cost of ASR</t>
  </si>
  <si>
    <t>Capital cost of additional IBT potable water</t>
  </si>
  <si>
    <t>Total cost of WRF</t>
  </si>
  <si>
    <t>Additional WRF capacity</t>
  </si>
  <si>
    <t>Initial or capital cost for additional WRF capacity</t>
  </si>
  <si>
    <t>O&amp;M cost for WRF</t>
  </si>
  <si>
    <t>Initial maximum capacity of WRF</t>
  </si>
  <si>
    <t>Remaining lifetime of existing WRF</t>
  </si>
  <si>
    <t>Lifetime of new construction for additional capacity for WRF</t>
  </si>
  <si>
    <t>Flag for excluding new/additional WRF capacity</t>
  </si>
  <si>
    <t>Initial or capital cost for additional ASR capacity</t>
  </si>
  <si>
    <t>WRF average constituent effluent concentration</t>
  </si>
  <si>
    <t>Capital cost of additional IBT wastewater</t>
  </si>
  <si>
    <t>WRF</t>
  </si>
  <si>
    <t>Capital cost of WRF</t>
  </si>
  <si>
    <t>XESepAvEff</t>
  </si>
  <si>
    <t>Septic average constituent effluent concentration</t>
  </si>
  <si>
    <t>Enhanced septic average constituent effluent concentration</t>
  </si>
  <si>
    <t>Cost of flood damage</t>
  </si>
  <si>
    <t>Total cost of IBT potable water</t>
  </si>
  <si>
    <t>Total cost of IBT wastewater</t>
  </si>
  <si>
    <t>Percent consumer rate change</t>
  </si>
  <si>
    <t>QESep</t>
  </si>
  <si>
    <t>Enhanced septic treatment</t>
  </si>
  <si>
    <t>DFtStream</t>
  </si>
  <si>
    <t>CStream</t>
  </si>
  <si>
    <t>COutfall</t>
  </si>
  <si>
    <t>Cost of streambank restoration/stabilization</t>
  </si>
  <si>
    <t>Cost of outfall enhancement/stabilization</t>
  </si>
  <si>
    <t>ft</t>
  </si>
  <si>
    <t>outfalls</t>
  </si>
  <si>
    <t>Number of enhanced/stabilized outfalls</t>
  </si>
  <si>
    <t>Steambank length restored/stabilized</t>
  </si>
  <si>
    <t>binary</t>
  </si>
  <si>
    <t>CDrSet1</t>
  </si>
  <si>
    <t>XWtpMaxIn</t>
  </si>
  <si>
    <t>XWwtpMaxIn</t>
  </si>
  <si>
    <t>COmESep</t>
  </si>
  <si>
    <t>DNOutE</t>
  </si>
  <si>
    <t>Water treatment plant to nonpotable water use</t>
  </si>
  <si>
    <t>IBT potable water to nonpotable water use</t>
  </si>
  <si>
    <t>IBT potable water to potable water use</t>
  </si>
  <si>
    <t>WRF to nonpotable water use</t>
  </si>
  <si>
    <t>Nonpotable water use</t>
  </si>
  <si>
    <t>Nonpotable water to septic systems inside of study area</t>
  </si>
  <si>
    <t>Nonpotable water to septic systems outside of study area</t>
  </si>
  <si>
    <t>Capital cost of potable water treatment plant</t>
  </si>
  <si>
    <t>Capital cost of wastewater treatment plant</t>
  </si>
  <si>
    <t>Total cost of wastewater treatment plant I/I repair</t>
  </si>
  <si>
    <t>Total cost of potable water treatment plant</t>
  </si>
  <si>
    <t>Cost of potable water treatment plant repair</t>
  </si>
  <si>
    <t>Wastewater treatment plant I/I repairs</t>
  </si>
  <si>
    <t>Additional IBT potable water capacity</t>
  </si>
  <si>
    <t>Additional IBT wastewater capacity</t>
  </si>
  <si>
    <t>Interbasin transfer (IBT) potable water</t>
  </si>
  <si>
    <t>CStreamU</t>
  </si>
  <si>
    <t>StreamMax</t>
  </si>
  <si>
    <t>StreamTargetBody</t>
  </si>
  <si>
    <t>COutfallU</t>
  </si>
  <si>
    <t>$/outfall</t>
  </si>
  <si>
    <t>OutfallMax</t>
  </si>
  <si>
    <t>OutfallTargetBody</t>
  </si>
  <si>
    <t>StreamRemoval</t>
  </si>
  <si>
    <t>OutfallRemoval</t>
  </si>
  <si>
    <t>NDrSet</t>
  </si>
  <si>
    <t>DrArea</t>
  </si>
  <si>
    <t>CCDrSetU</t>
  </si>
  <si>
    <t>COmDrSetU</t>
  </si>
  <si>
    <t>DrRemovalRate</t>
  </si>
  <si>
    <t>NRipSet</t>
  </si>
  <si>
    <t>Number of load adjustment efficiencies</t>
  </si>
  <si>
    <t>Number of riparian buffer management sets</t>
  </si>
  <si>
    <t>NAdjEff</t>
  </si>
  <si>
    <t>AdjEff</t>
  </si>
  <si>
    <t>ARip</t>
  </si>
  <si>
    <t>CCRipU</t>
  </si>
  <si>
    <t>COmRipU</t>
  </si>
  <si>
    <t>ARipUp</t>
  </si>
  <si>
    <t>Cost per linear stream length of streambank stabilization</t>
  </si>
  <si>
    <t>Waterbody where streambank stabilization target adjustment is applied</t>
  </si>
  <si>
    <t>Waterbody where outfall stabilization target adjustment is applied</t>
  </si>
  <si>
    <t>Maximum number of outfalls that can be stabilized</t>
  </si>
  <si>
    <t>Maximum linear stream length that can be stabilized</t>
  </si>
  <si>
    <t>Cost per outfall stabilized</t>
  </si>
  <si>
    <t>Number of direct reduction management sets</t>
  </si>
  <si>
    <t>Application area of direct reduction management set</t>
  </si>
  <si>
    <t>Capital cost of direct reduction management set</t>
  </si>
  <si>
    <t>O&amp;M cost of direct reduction management set</t>
  </si>
  <si>
    <t>Streambank stabilization constituent loading removal rate</t>
  </si>
  <si>
    <t>Outfall stabilization constituent loading removal rate</t>
  </si>
  <si>
    <t>Direct reduction land use constituent loading removal rate</t>
  </si>
  <si>
    <t>Load adjustment efficiencies by riparian buffer set</t>
  </si>
  <si>
    <t>Area change of riparian buffer land management</t>
  </si>
  <si>
    <t>Capital cost of riparian buffer conversion</t>
  </si>
  <si>
    <t>O&amp;M cost for riparian buffer conversion</t>
  </si>
  <si>
    <t>Areas upgradient to the riparian buffer</t>
  </si>
  <si>
    <t>$/foot</t>
  </si>
  <si>
    <t>lbs/outfall/time step</t>
  </si>
  <si>
    <t>lbs/ft/time step</t>
  </si>
  <si>
    <t>$/ac</t>
  </si>
  <si>
    <t>$/ac/yr</t>
  </si>
  <si>
    <t>Cons1</t>
  </si>
  <si>
    <t>Name of constituent 1</t>
  </si>
  <si>
    <t>DrSetName,1</t>
  </si>
  <si>
    <t>RipSetName,1</t>
  </si>
  <si>
    <t>COmOS</t>
  </si>
  <si>
    <t>Operation cost of offline storage use</t>
  </si>
  <si>
    <t>COS</t>
  </si>
  <si>
    <t>Cost of offline storage</t>
  </si>
  <si>
    <t>Cost of sewer separation</t>
  </si>
  <si>
    <t>CSewSep</t>
  </si>
  <si>
    <t>Binary decision to use offline storage</t>
  </si>
  <si>
    <t>Percent of sewer system that is combined</t>
  </si>
  <si>
    <t>DOS</t>
  </si>
  <si>
    <t>DPCS</t>
  </si>
  <si>
    <t>DPCS1</t>
  </si>
  <si>
    <t>DQCSOS</t>
  </si>
  <si>
    <t>Combined sewer to offline storage</t>
  </si>
  <si>
    <t>DQOSWwtp</t>
  </si>
  <si>
    <t>Offline storage to wastewater treatment plant</t>
  </si>
  <si>
    <t>DQUseNpCS</t>
  </si>
  <si>
    <t>DQUseNpSanS</t>
  </si>
  <si>
    <t>DQUsePCS</t>
  </si>
  <si>
    <t>DQUsePSanS</t>
  </si>
  <si>
    <t>Nonpotable water use to combined sewer</t>
  </si>
  <si>
    <t>Nonpotable water use to IBT wastewater flow</t>
  </si>
  <si>
    <t>Nonpotable water use to sanitary sewer</t>
  </si>
  <si>
    <t>Potable water use to combined sewer</t>
  </si>
  <si>
    <t>Potable water use to IBT wastewater flow</t>
  </si>
  <si>
    <t>Potable water use to sanitary sewer</t>
  </si>
  <si>
    <t>DRuCS</t>
  </si>
  <si>
    <t>Binary decision to route runoff to combined sewer</t>
  </si>
  <si>
    <t>DWwtp</t>
  </si>
  <si>
    <t>Binary decision used to count hydraulic capacity exceedances</t>
  </si>
  <si>
    <t>LStSSw1</t>
  </si>
  <si>
    <t>LRuAdd1</t>
  </si>
  <si>
    <t>LRuAdj1</t>
  </si>
  <si>
    <t>LRuAdjUp1</t>
  </si>
  <si>
    <t>LUseNpSanS1</t>
  </si>
  <si>
    <t>LUseNpSewer1</t>
  </si>
  <si>
    <t>Runoff loadings change from converted HRU land area (Constituent 1)</t>
  </si>
  <si>
    <t>Runoff loadings from upland HRUs to a buffer area that does not have a loadings adjustment (Constituent 1)</t>
  </si>
  <si>
    <t>Runoff loadings from upland HRUs to a buffer area that has a loadings adjustment (Constituent 1)</t>
  </si>
  <si>
    <t>Storm sewer to surface water loadings (Constituent 1)</t>
  </si>
  <si>
    <t>Nonpotable water use to sanitary sewer loadings (Constituent 1)</t>
  </si>
  <si>
    <t>Nonpotable water use to storm sewer loadings (Constituent 1)</t>
  </si>
  <si>
    <t>LUsePSanS1</t>
  </si>
  <si>
    <t>Potable water use to sanitary sewer loadings (Constituent 1)</t>
  </si>
  <si>
    <t>QCSWwtp</t>
  </si>
  <si>
    <t>Combined sewer to wastewater treatment plant</t>
  </si>
  <si>
    <t>Runoff flow to combined sewer</t>
  </si>
  <si>
    <t>Runoff flow to storm sewer</t>
  </si>
  <si>
    <t>Runoff flow to surface water</t>
  </si>
  <si>
    <t>Sanitary sewer to wastewater treatment plant</t>
  </si>
  <si>
    <t>QRuCS</t>
  </si>
  <si>
    <t>QRuStS</t>
  </si>
  <si>
    <t>QRuSw</t>
  </si>
  <si>
    <t>QSanSWwtp</t>
  </si>
  <si>
    <t>QStSSw</t>
  </si>
  <si>
    <t>Storm sewer to surface water</t>
  </si>
  <si>
    <t>QUseNpSewer</t>
  </si>
  <si>
    <t>Municipal water use direct to the sewer system</t>
  </si>
  <si>
    <t>Offline storage volume</t>
  </si>
  <si>
    <t>VOSTotal</t>
  </si>
  <si>
    <t>LRuAdd2</t>
  </si>
  <si>
    <t>Runoff loadings change from converted HRU land area (Constituent 2)</t>
  </si>
  <si>
    <t>LRuAdj2</t>
  </si>
  <si>
    <t>Runoff loadings from upland HRUs to a buffer area that does not have a loadings adjustment (Constituent 2)</t>
  </si>
  <si>
    <t>LRuAdjUp2</t>
  </si>
  <si>
    <t>Runoff loadings from upland HRUs to a buffer area that has a loadings adjustment (Constituent 2)</t>
  </si>
  <si>
    <t>LStSSw2</t>
  </si>
  <si>
    <t>Storm sewer to surface water loadings (Constituent 2)</t>
  </si>
  <si>
    <t>LUseNpSanS2</t>
  </si>
  <si>
    <t>Nonpotable water use to sanitary sewer loadings (Constituent 2)</t>
  </si>
  <si>
    <t>LUseNpSewer2</t>
  </si>
  <si>
    <t>Nonpotable water use to storm sewer loadings (Constituent 2)</t>
  </si>
  <si>
    <t>LUsePSanS2</t>
  </si>
  <si>
    <t>Potable water use to sanitary sewer loadings (Constituent 2)</t>
  </si>
  <si>
    <t>DRipSet1111</t>
  </si>
  <si>
    <t>DRipSet1112</t>
  </si>
  <si>
    <t>CRipSet111</t>
  </si>
  <si>
    <t>Total cost of applying direct reduction land management sets</t>
  </si>
  <si>
    <r>
      <t xml:space="preserve">The </t>
    </r>
    <r>
      <rPr>
        <u/>
        <sz val="12"/>
        <color theme="1"/>
        <rFont val="Calibri"/>
        <family val="2"/>
        <scheme val="minor"/>
      </rPr>
      <t>Controls</t>
    </r>
    <r>
      <rPr>
        <sz val="12"/>
        <color theme="1"/>
        <rFont val="Calibri"/>
        <family val="2"/>
        <scheme val="minor"/>
      </rPr>
      <t xml:space="preserve"> tab provides access to steps in compiling and analyzing WMOST data</t>
    </r>
  </si>
  <si>
    <r>
      <t xml:space="preserve">The </t>
    </r>
    <r>
      <rPr>
        <u/>
        <sz val="12"/>
        <color theme="1"/>
        <rFont val="Calibri"/>
        <family val="2"/>
        <scheme val="minor"/>
      </rPr>
      <t>Variable Definitions</t>
    </r>
    <r>
      <rPr>
        <sz val="12"/>
        <color theme="1"/>
        <rFont val="Calibri"/>
        <family val="2"/>
        <scheme val="minor"/>
      </rPr>
      <t xml:space="preserve"> tab provides a description of the WMOST variables in the output data</t>
    </r>
  </si>
  <si>
    <r>
      <t xml:space="preserve">The </t>
    </r>
    <r>
      <rPr>
        <u/>
        <sz val="12"/>
        <color theme="1"/>
        <rFont val="Calibri"/>
        <family val="2"/>
        <scheme val="minor"/>
      </rPr>
      <t>Loaded Scenarios</t>
    </r>
    <r>
      <rPr>
        <sz val="12"/>
        <color theme="1"/>
        <rFont val="Calibri"/>
        <family val="2"/>
        <scheme val="minor"/>
      </rPr>
      <t xml:space="preserve"> tab provides the inventory of output files imported by the user</t>
    </r>
  </si>
  <si>
    <t>Direct reduction management set names</t>
  </si>
  <si>
    <t>Cost of direct reduction land use management set</t>
  </si>
  <si>
    <t>DDrSet1</t>
  </si>
  <si>
    <t>CDrTotal</t>
  </si>
  <si>
    <t>Binary decision to apply direct reduction land management set</t>
  </si>
  <si>
    <t>Total cost of applying riparian buffer land management sets</t>
  </si>
  <si>
    <t>Cost of riparian buffer land use management set</t>
  </si>
  <si>
    <t>Binary decision to apply riparian buffer land management set to runoff</t>
  </si>
  <si>
    <t>Binary decision to apply riparian buffer land management set to loadings</t>
  </si>
  <si>
    <t>Riparian buffer management set names</t>
  </si>
  <si>
    <t>QUseP1</t>
  </si>
  <si>
    <t>QUseNp1</t>
  </si>
  <si>
    <t>NamesWUse,1</t>
  </si>
  <si>
    <t>Total cost of wastewater treatment plant</t>
  </si>
  <si>
    <t>CRipTotal</t>
  </si>
  <si>
    <t>Land management cost for managed set</t>
  </si>
  <si>
    <t>Land area of HRU</t>
  </si>
  <si>
    <t>HRU names</t>
  </si>
  <si>
    <t>HRU management set names</t>
  </si>
  <si>
    <t>Water user names</t>
  </si>
  <si>
    <r>
      <t xml:space="preserve">Numeric identifiers on any WQ variable represents the decision variable for constituent number </t>
    </r>
    <r>
      <rPr>
        <b/>
        <i/>
        <sz val="11"/>
        <color rgb="FFFFFFFF"/>
        <rFont val="Calibri"/>
        <family val="2"/>
        <scheme val="minor"/>
      </rPr>
      <t>C.</t>
    </r>
  </si>
  <si>
    <t>LRuT</t>
  </si>
  <si>
    <t>Total monthly runoff loadings for the study area for each managed set</t>
  </si>
  <si>
    <t>lbs/acre/month</t>
  </si>
  <si>
    <t>LReT</t>
  </si>
  <si>
    <t>Total monthly recharge loadings for the study area for each managed set</t>
  </si>
  <si>
    <t>QRuT</t>
  </si>
  <si>
    <t>Total monthly runoff for the study area for each managed set</t>
  </si>
  <si>
    <t>in/acre/month</t>
  </si>
  <si>
    <t>QReT</t>
  </si>
  <si>
    <t>Total monthly recharge for the study area for each managed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</si>
</sst>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0.000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sz val="11"/>
      <color theme="1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2"/>
      <color rgb="FF000000"/>
      <name val="Arial"/>
      <family val="2"/>
    </font>
    <font>
      <b/>
      <sz val="16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E6B8B7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876">
    <xf numFmtId="0" fontId="0" fillId="0" borderId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8" applyNumberFormat="0" applyAlignment="0" applyProtection="0"/>
    <xf numFmtId="0" fontId="22" fillId="10" borderId="9" applyNumberFormat="0" applyAlignment="0" applyProtection="0"/>
    <xf numFmtId="0" fontId="23" fillId="10" borderId="8" applyNumberFormat="0" applyAlignment="0" applyProtection="0"/>
    <xf numFmtId="0" fontId="24" fillId="0" borderId="10" applyNumberFormat="0" applyFill="0" applyAlignment="0" applyProtection="0"/>
    <xf numFmtId="0" fontId="25" fillId="11" borderId="11" applyNumberFormat="0" applyAlignment="0" applyProtection="0"/>
    <xf numFmtId="0" fontId="26" fillId="0" borderId="0" applyNumberFormat="0" applyFill="0" applyBorder="0" applyAlignment="0" applyProtection="0"/>
    <xf numFmtId="0" fontId="13" fillId="1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28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28" fillId="36" borderId="0" applyNumberFormat="0" applyBorder="0" applyAlignment="0" applyProtection="0"/>
    <xf numFmtId="164" fontId="29" fillId="0" borderId="0"/>
    <xf numFmtId="43" fontId="29" fillId="0" borderId="0" applyFont="0" applyFill="0" applyBorder="0" applyAlignment="0" applyProtection="0"/>
    <xf numFmtId="164" fontId="29" fillId="0" borderId="0"/>
    <xf numFmtId="44" fontId="29" fillId="0" borderId="0" applyFont="0" applyFill="0" applyBorder="0" applyAlignment="0" applyProtection="0"/>
    <xf numFmtId="0" fontId="13" fillId="0" borderId="0"/>
    <xf numFmtId="0" fontId="29" fillId="0" borderId="0"/>
    <xf numFmtId="0" fontId="29" fillId="0" borderId="0"/>
    <xf numFmtId="0" fontId="29" fillId="0" borderId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7" borderId="0" applyNumberFormat="0" applyBorder="0" applyAlignment="0" applyProtection="0"/>
    <xf numFmtId="0" fontId="32" fillId="41" borderId="0" applyNumberFormat="0" applyBorder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3" fillId="58" borderId="22" applyNumberFormat="0" applyAlignment="0" applyProtection="0"/>
    <xf numFmtId="0" fontId="34" fillId="59" borderId="23" applyNumberFormat="0" applyAlignment="0" applyProtection="0"/>
    <xf numFmtId="0" fontId="35" fillId="0" borderId="0" applyNumberFormat="0" applyFill="0" applyBorder="0" applyAlignment="0" applyProtection="0"/>
    <xf numFmtId="0" fontId="36" fillId="42" borderId="0" applyNumberFormat="0" applyBorder="0" applyAlignment="0" applyProtection="0"/>
    <xf numFmtId="0" fontId="37" fillId="0" borderId="24" applyNumberFormat="0" applyFill="0" applyAlignment="0" applyProtection="0"/>
    <xf numFmtId="0" fontId="38" fillId="0" borderId="25" applyNumberFormat="0" applyFill="0" applyAlignment="0" applyProtection="0"/>
    <xf numFmtId="0" fontId="39" fillId="0" borderId="26" applyNumberFormat="0" applyFill="0" applyAlignment="0" applyProtection="0"/>
    <xf numFmtId="0" fontId="39" fillId="0" borderId="0" applyNumberFormat="0" applyFill="0" applyBorder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0" fillId="45" borderId="22" applyNumberFormat="0" applyAlignment="0" applyProtection="0"/>
    <xf numFmtId="0" fontId="41" fillId="0" borderId="27" applyNumberFormat="0" applyFill="0" applyAlignment="0" applyProtection="0"/>
    <xf numFmtId="0" fontId="42" fillId="60" borderId="0" applyNumberFormat="0" applyBorder="0" applyAlignment="0" applyProtection="0"/>
    <xf numFmtId="164" fontId="29" fillId="0" borderId="0"/>
    <xf numFmtId="164" fontId="29" fillId="0" borderId="0"/>
    <xf numFmtId="164" fontId="29" fillId="0" borderId="0"/>
    <xf numFmtId="0" fontId="13" fillId="0" borderId="0"/>
    <xf numFmtId="0" fontId="43" fillId="0" borderId="0"/>
    <xf numFmtId="0" fontId="13" fillId="0" borderId="0"/>
    <xf numFmtId="0" fontId="13" fillId="0" borderId="0"/>
    <xf numFmtId="164" fontId="29" fillId="0" borderId="0"/>
    <xf numFmtId="0" fontId="44" fillId="0" borderId="0"/>
    <xf numFmtId="164" fontId="29" fillId="0" borderId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30" fillId="61" borderId="28" applyNumberFormat="0" applyFon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5" fillId="58" borderId="29" applyNumberFormat="0" applyAlignment="0" applyProtection="0"/>
    <xf numFmtId="0" fontId="46" fillId="0" borderId="0" applyNumberFormat="0" applyFill="0" applyBorder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7" fillId="0" borderId="30" applyNumberFormat="0" applyFill="0" applyAlignment="0" applyProtection="0"/>
    <xf numFmtId="0" fontId="48" fillId="0" borderId="0" applyNumberFormat="0" applyFill="0" applyBorder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33" fillId="58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40" fillId="45" borderId="31" applyNumberForma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30" fillId="61" borderId="32" applyNumberFormat="0" applyFon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5" fillId="58" borderId="33" applyNumberFormat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</cellStyleXfs>
  <cellXfs count="114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left"/>
    </xf>
    <xf numFmtId="0" fontId="0" fillId="0" borderId="1" xfId="0" applyBorder="1"/>
    <xf numFmtId="0" fontId="1" fillId="0" borderId="1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2" borderId="0" xfId="0" applyFont="1" applyFill="1"/>
    <xf numFmtId="0" fontId="10" fillId="4" borderId="0" xfId="0" applyFont="1" applyFill="1"/>
    <xf numFmtId="0" fontId="0" fillId="0" borderId="0" xfId="0" applyFont="1"/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2" fillId="2" borderId="1" xfId="0" applyFont="1" applyFill="1" applyBorder="1"/>
    <xf numFmtId="0" fontId="2" fillId="4" borderId="3" xfId="0" applyFont="1" applyFill="1" applyBorder="1"/>
    <xf numFmtId="0" fontId="1" fillId="0" borderId="3" xfId="0" applyFont="1" applyBorder="1" applyAlignment="1">
      <alignment horizontal="left"/>
    </xf>
    <xf numFmtId="0" fontId="0" fillId="0" borderId="0" xfId="0" applyBorder="1"/>
    <xf numFmtId="0" fontId="6" fillId="0" borderId="0" xfId="0" applyFont="1" applyBorder="1" applyAlignment="1">
      <alignment horizontal="left" indent="2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/>
    <xf numFmtId="0" fontId="2" fillId="2" borderId="4" xfId="0" applyFont="1" applyFill="1" applyBorder="1"/>
    <xf numFmtId="0" fontId="0" fillId="0" borderId="4" xfId="0" applyBorder="1"/>
    <xf numFmtId="0" fontId="11" fillId="0" borderId="4" xfId="0" applyFont="1" applyBorder="1"/>
    <xf numFmtId="0" fontId="9" fillId="0" borderId="0" xfId="0" applyFont="1" applyBorder="1"/>
    <xf numFmtId="0" fontId="6" fillId="0" borderId="0" xfId="0" applyFont="1" applyBorder="1" applyAlignment="1">
      <alignment horizontal="left" vertical="top" wrapText="1"/>
    </xf>
    <xf numFmtId="0" fontId="0" fillId="0" borderId="1" xfId="0" applyFont="1" applyBorder="1"/>
    <xf numFmtId="0" fontId="11" fillId="0" borderId="0" xfId="0" applyFont="1" applyBorder="1"/>
    <xf numFmtId="0" fontId="6" fillId="0" borderId="0" xfId="0" applyFont="1" applyBorder="1" applyAlignment="1">
      <alignment vertical="top"/>
    </xf>
    <xf numFmtId="0" fontId="10" fillId="5" borderId="0" xfId="0" applyFont="1" applyFill="1"/>
    <xf numFmtId="0" fontId="1" fillId="0" borderId="0" xfId="0" applyFont="1" applyBorder="1"/>
    <xf numFmtId="22" fontId="0" fillId="0" borderId="0" xfId="0" applyNumberFormat="1" applyBorder="1"/>
    <xf numFmtId="14" fontId="0" fillId="0" borderId="0" xfId="0" applyNumberFormat="1" applyBorder="1"/>
    <xf numFmtId="0" fontId="2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0" fillId="0" borderId="0" xfId="0" applyFill="1" applyBorder="1"/>
    <xf numFmtId="0" fontId="11" fillId="0" borderId="0" xfId="0" applyFont="1" applyFill="1" applyBorder="1"/>
    <xf numFmtId="0" fontId="1" fillId="0" borderId="0" xfId="0" applyFont="1" applyFill="1" applyBorder="1"/>
    <xf numFmtId="0" fontId="0" fillId="0" borderId="0" xfId="0" applyFont="1" applyFill="1" applyBorder="1"/>
    <xf numFmtId="0" fontId="12" fillId="0" borderId="0" xfId="0" applyFont="1" applyFill="1" applyBorder="1"/>
    <xf numFmtId="0" fontId="0" fillId="37" borderId="0" xfId="0" applyFill="1"/>
    <xf numFmtId="0" fontId="0" fillId="37" borderId="0" xfId="0" applyFill="1"/>
    <xf numFmtId="0" fontId="0" fillId="38" borderId="0" xfId="0" applyFill="1"/>
    <xf numFmtId="0" fontId="49" fillId="37" borderId="0" xfId="0" applyFont="1" applyFill="1"/>
    <xf numFmtId="0" fontId="49" fillId="37" borderId="0" xfId="0" applyFont="1" applyFill="1" applyAlignment="1">
      <alignment wrapText="1"/>
    </xf>
    <xf numFmtId="0" fontId="49" fillId="37" borderId="0" xfId="0" applyFont="1" applyFill="1" applyAlignment="1"/>
    <xf numFmtId="0" fontId="0" fillId="39" borderId="0" xfId="0" applyFill="1"/>
    <xf numFmtId="0" fontId="50" fillId="37" borderId="0" xfId="0" applyFont="1" applyFill="1" applyAlignment="1"/>
    <xf numFmtId="0" fontId="9" fillId="37" borderId="0" xfId="0" applyFont="1" applyFill="1"/>
    <xf numFmtId="0" fontId="0" fillId="2" borderId="0" xfId="0" applyFill="1"/>
    <xf numFmtId="0" fontId="0" fillId="63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indent="4"/>
    </xf>
    <xf numFmtId="0" fontId="12" fillId="37" borderId="1" xfId="0" applyFont="1" applyFill="1" applyBorder="1"/>
    <xf numFmtId="0" fontId="0" fillId="0" borderId="1" xfId="0" applyFill="1" applyBorder="1"/>
    <xf numFmtId="0" fontId="1" fillId="0" borderId="40" xfId="0" applyFont="1" applyBorder="1"/>
    <xf numFmtId="0" fontId="1" fillId="0" borderId="40" xfId="0" applyFont="1" applyFill="1" applyBorder="1"/>
    <xf numFmtId="0" fontId="12" fillId="0" borderId="40" xfId="0" applyFont="1" applyBorder="1"/>
    <xf numFmtId="0" fontId="10" fillId="3" borderId="40" xfId="0" applyFont="1" applyFill="1" applyBorder="1"/>
    <xf numFmtId="0" fontId="52" fillId="0" borderId="41" xfId="0" applyFont="1" applyFill="1" applyBorder="1"/>
    <xf numFmtId="0" fontId="0" fillId="0" borderId="40" xfId="0" applyFont="1" applyFill="1" applyBorder="1"/>
    <xf numFmtId="0" fontId="0" fillId="0" borderId="40" xfId="0" applyFont="1" applyBorder="1"/>
    <xf numFmtId="0" fontId="11" fillId="0" borderId="40" xfId="0" applyFont="1" applyBorder="1"/>
    <xf numFmtId="0" fontId="10" fillId="63" borderId="1" xfId="0" applyFont="1" applyFill="1" applyBorder="1"/>
    <xf numFmtId="0" fontId="53" fillId="0" borderId="41" xfId="0" applyFont="1" applyFill="1" applyBorder="1"/>
    <xf numFmtId="0" fontId="1" fillId="0" borderId="42" xfId="0" applyFont="1" applyBorder="1"/>
    <xf numFmtId="0" fontId="0" fillId="0" borderId="43" xfId="0" applyBorder="1" applyAlignment="1">
      <alignment horizontal="left"/>
    </xf>
    <xf numFmtId="0" fontId="0" fillId="0" borderId="42" xfId="0" applyFont="1" applyFill="1" applyBorder="1"/>
    <xf numFmtId="0" fontId="0" fillId="0" borderId="42" xfId="0" applyFont="1" applyBorder="1"/>
    <xf numFmtId="0" fontId="52" fillId="0" borderId="41" xfId="0" applyFont="1" applyFill="1" applyBorder="1" applyAlignment="1">
      <alignment horizontal="left"/>
    </xf>
    <xf numFmtId="0" fontId="53" fillId="0" borderId="41" xfId="0" applyFont="1" applyFill="1" applyBorder="1" applyAlignment="1">
      <alignment horizontal="left"/>
    </xf>
    <xf numFmtId="0" fontId="11" fillId="0" borderId="42" xfId="0" applyFont="1" applyBorder="1"/>
    <xf numFmtId="0" fontId="11" fillId="0" borderId="44" xfId="0" applyFont="1" applyBorder="1"/>
    <xf numFmtId="0" fontId="25" fillId="0" borderId="41" xfId="0" applyFont="1" applyFill="1" applyBorder="1"/>
    <xf numFmtId="0" fontId="28" fillId="0" borderId="41" xfId="0" applyFont="1" applyFill="1" applyBorder="1"/>
    <xf numFmtId="0" fontId="28" fillId="0" borderId="41" xfId="0" applyFont="1" applyFill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1" fillId="0" borderId="43" xfId="0" applyFont="1" applyBorder="1" applyAlignment="1">
      <alignment horizontal="left"/>
    </xf>
    <xf numFmtId="0" fontId="11" fillId="0" borderId="46" xfId="0" applyFont="1" applyBorder="1"/>
    <xf numFmtId="0" fontId="11" fillId="0" borderId="1" xfId="0" applyFont="1" applyFill="1" applyBorder="1"/>
    <xf numFmtId="0" fontId="12" fillId="0" borderId="42" xfId="0" applyFont="1" applyBorder="1"/>
    <xf numFmtId="0" fontId="12" fillId="0" borderId="44" xfId="0" applyFont="1" applyBorder="1"/>
    <xf numFmtId="0" fontId="12" fillId="0" borderId="1" xfId="0" applyFont="1" applyBorder="1"/>
    <xf numFmtId="0" fontId="56" fillId="38" borderId="0" xfId="0" applyFont="1" applyFill="1" applyAlignment="1">
      <alignment horizontal="left" vertical="center" indent="2"/>
    </xf>
    <xf numFmtId="0" fontId="57" fillId="37" borderId="0" xfId="0" applyFont="1" applyFill="1" applyAlignment="1">
      <alignment horizontal="left" indent="2"/>
    </xf>
    <xf numFmtId="0" fontId="57" fillId="37" borderId="0" xfId="0" applyFont="1" applyFill="1" applyAlignment="1">
      <alignment wrapText="1"/>
    </xf>
    <xf numFmtId="0" fontId="57" fillId="37" borderId="0" xfId="0" applyFont="1" applyFill="1"/>
    <xf numFmtId="0" fontId="56" fillId="39" borderId="0" xfId="0" applyFont="1" applyFill="1" applyAlignment="1">
      <alignment horizontal="left" vertical="center" indent="2"/>
    </xf>
    <xf numFmtId="0" fontId="57" fillId="37" borderId="0" xfId="0" applyFont="1" applyFill="1" applyAlignment="1">
      <alignment horizontal="left" indent="3"/>
    </xf>
    <xf numFmtId="0" fontId="50" fillId="37" borderId="0" xfId="0" applyFont="1" applyFill="1" applyAlignment="1">
      <alignment horizontal="left" indent="3"/>
    </xf>
    <xf numFmtId="165" fontId="0" fillId="37" borderId="0" xfId="0" applyNumberFormat="1" applyFill="1"/>
    <xf numFmtId="0" fontId="52" fillId="0" borderId="41" xfId="0" quotePrefix="1" applyFont="1" applyFill="1" applyBorder="1"/>
    <xf numFmtId="0" fontId="53" fillId="0" borderId="41" xfId="0" applyFont="1" applyFill="1" applyBorder="1" applyAlignment="1"/>
    <xf numFmtId="0" fontId="53" fillId="0" borderId="0" xfId="0" applyFont="1" applyAlignment="1">
      <alignment horizontal="left" indent="1"/>
    </xf>
    <xf numFmtId="0" fontId="57" fillId="37" borderId="0" xfId="0" applyFont="1" applyFill="1" applyAlignment="1">
      <alignment horizontal="left" wrapText="1" indent="2"/>
    </xf>
    <xf numFmtId="0" fontId="54" fillId="62" borderId="14" xfId="0" applyFont="1" applyFill="1" applyBorder="1" applyAlignment="1" applyProtection="1">
      <alignment horizontal="center" vertical="center" wrapText="1"/>
      <protection locked="0"/>
    </xf>
    <xf numFmtId="0" fontId="54" fillId="62" borderId="15" xfId="0" applyFont="1" applyFill="1" applyBorder="1" applyAlignment="1" applyProtection="1">
      <alignment horizontal="center" vertical="center" wrapText="1"/>
      <protection locked="0"/>
    </xf>
    <xf numFmtId="0" fontId="54" fillId="62" borderId="16" xfId="0" applyFont="1" applyFill="1" applyBorder="1" applyAlignment="1" applyProtection="1">
      <alignment horizontal="center" vertical="center" wrapText="1"/>
      <protection locked="0"/>
    </xf>
    <xf numFmtId="0" fontId="54" fillId="62" borderId="17" xfId="0" applyFont="1" applyFill="1" applyBorder="1" applyAlignment="1" applyProtection="1">
      <alignment horizontal="center" vertical="center" wrapText="1"/>
      <protection locked="0"/>
    </xf>
    <xf numFmtId="0" fontId="54" fillId="62" borderId="0" xfId="0" applyFont="1" applyFill="1" applyBorder="1" applyAlignment="1" applyProtection="1">
      <alignment horizontal="center" vertical="center" wrapText="1"/>
      <protection locked="0"/>
    </xf>
    <xf numFmtId="0" fontId="54" fillId="62" borderId="18" xfId="0" applyFont="1" applyFill="1" applyBorder="1" applyAlignment="1" applyProtection="1">
      <alignment horizontal="center" vertical="center" wrapText="1"/>
      <protection locked="0"/>
    </xf>
    <xf numFmtId="0" fontId="54" fillId="62" borderId="35" xfId="0" applyFont="1" applyFill="1" applyBorder="1" applyAlignment="1" applyProtection="1">
      <alignment horizontal="center" vertical="center" wrapText="1"/>
      <protection locked="0"/>
    </xf>
    <xf numFmtId="0" fontId="54" fillId="62" borderId="36" xfId="0" applyFont="1" applyFill="1" applyBorder="1" applyAlignment="1" applyProtection="1">
      <alignment horizontal="center" vertical="center" wrapText="1"/>
      <protection locked="0"/>
    </xf>
    <xf numFmtId="0" fontId="54" fillId="62" borderId="37" xfId="0" applyFont="1" applyFill="1" applyBorder="1" applyAlignment="1" applyProtection="1">
      <alignment horizontal="center" vertical="center" wrapText="1"/>
      <protection locked="0"/>
    </xf>
    <xf numFmtId="0" fontId="55" fillId="62" borderId="38" xfId="0" applyFont="1" applyFill="1" applyBorder="1" applyAlignment="1" applyProtection="1">
      <alignment horizontal="center" wrapText="1"/>
      <protection locked="0"/>
    </xf>
    <xf numFmtId="0" fontId="55" fillId="62" borderId="2" xfId="0" applyFont="1" applyFill="1" applyBorder="1" applyAlignment="1" applyProtection="1">
      <alignment horizontal="center" wrapText="1"/>
      <protection locked="0"/>
    </xf>
    <xf numFmtId="0" fontId="55" fillId="62" borderId="39" xfId="0" applyFont="1" applyFill="1" applyBorder="1" applyAlignment="1" applyProtection="1">
      <alignment horizontal="center" wrapText="1"/>
      <protection locked="0"/>
    </xf>
    <xf numFmtId="0" fontId="56" fillId="62" borderId="17" xfId="0" applyFont="1" applyFill="1" applyBorder="1" applyAlignment="1" applyProtection="1">
      <alignment horizontal="center" vertical="center"/>
      <protection locked="0"/>
    </xf>
    <xf numFmtId="0" fontId="56" fillId="62" borderId="0" xfId="0" applyFont="1" applyFill="1" applyBorder="1" applyAlignment="1" applyProtection="1">
      <alignment horizontal="center" vertical="center"/>
      <protection locked="0"/>
    </xf>
    <xf numFmtId="0" fontId="56" fillId="62" borderId="18" xfId="0" applyFont="1" applyFill="1" applyBorder="1" applyAlignment="1" applyProtection="1">
      <alignment horizontal="center" vertical="center"/>
      <protection locked="0"/>
    </xf>
    <xf numFmtId="0" fontId="29" fillId="62" borderId="19" xfId="0" applyFont="1" applyFill="1" applyBorder="1" applyAlignment="1" applyProtection="1">
      <alignment horizontal="center" vertical="center"/>
      <protection locked="0"/>
    </xf>
    <xf numFmtId="0" fontId="29" fillId="62" borderId="20" xfId="0" applyFont="1" applyFill="1" applyBorder="1" applyAlignment="1" applyProtection="1">
      <alignment horizontal="center" vertical="center"/>
      <protection locked="0"/>
    </xf>
    <xf numFmtId="0" fontId="29" fillId="62" borderId="21" xfId="0" applyFont="1" applyFill="1" applyBorder="1" applyAlignment="1" applyProtection="1">
      <alignment horizontal="center" vertical="center"/>
      <protection locked="0"/>
    </xf>
  </cellXfs>
  <cellStyles count="1876">
    <cellStyle name="20% - Accent1" xfId="19" builtinId="30" customBuiltin="1"/>
    <cellStyle name="20% - Accent1 2" xfId="50"/>
    <cellStyle name="20% - Accent2" xfId="23" builtinId="34" customBuiltin="1"/>
    <cellStyle name="20% - Accent2 2" xfId="51"/>
    <cellStyle name="20% - Accent3" xfId="27" builtinId="38" customBuiltin="1"/>
    <cellStyle name="20% - Accent3 2" xfId="52"/>
    <cellStyle name="20% - Accent4" xfId="31" builtinId="42" customBuiltin="1"/>
    <cellStyle name="20% - Accent4 2" xfId="53"/>
    <cellStyle name="20% - Accent5" xfId="35" builtinId="46" customBuiltin="1"/>
    <cellStyle name="20% - Accent5 2" xfId="54"/>
    <cellStyle name="20% - Accent6" xfId="39" builtinId="50" customBuiltin="1"/>
    <cellStyle name="20% - Accent6 2" xfId="55"/>
    <cellStyle name="40% - Accent1" xfId="20" builtinId="31" customBuiltin="1"/>
    <cellStyle name="40% - Accent1 2" xfId="56"/>
    <cellStyle name="40% - Accent2" xfId="24" builtinId="35" customBuiltin="1"/>
    <cellStyle name="40% - Accent2 2" xfId="57"/>
    <cellStyle name="40% - Accent3" xfId="28" builtinId="39" customBuiltin="1"/>
    <cellStyle name="40% - Accent3 2" xfId="58"/>
    <cellStyle name="40% - Accent4" xfId="32" builtinId="43" customBuiltin="1"/>
    <cellStyle name="40% - Accent4 2" xfId="59"/>
    <cellStyle name="40% - Accent5" xfId="36" builtinId="47" customBuiltin="1"/>
    <cellStyle name="40% - Accent5 2" xfId="60"/>
    <cellStyle name="40% - Accent6" xfId="40" builtinId="51" customBuiltin="1"/>
    <cellStyle name="40% - Accent6 2" xfId="61"/>
    <cellStyle name="60% - Accent1" xfId="21" builtinId="32" customBuiltin="1"/>
    <cellStyle name="60% - Accent1 2" xfId="62"/>
    <cellStyle name="60% - Accent2" xfId="25" builtinId="36" customBuiltin="1"/>
    <cellStyle name="60% - Accent2 2" xfId="63"/>
    <cellStyle name="60% - Accent3" xfId="29" builtinId="40" customBuiltin="1"/>
    <cellStyle name="60% - Accent3 2" xfId="64"/>
    <cellStyle name="60% - Accent4" xfId="33" builtinId="44" customBuiltin="1"/>
    <cellStyle name="60% - Accent4 2" xfId="65"/>
    <cellStyle name="60% - Accent5" xfId="37" builtinId="48" customBuiltin="1"/>
    <cellStyle name="60% - Accent5 2" xfId="66"/>
    <cellStyle name="60% - Accent6" xfId="41" builtinId="52" customBuiltin="1"/>
    <cellStyle name="60% - Accent6 2" xfId="67"/>
    <cellStyle name="Accent1" xfId="18" builtinId="29" customBuiltin="1"/>
    <cellStyle name="Accent1 2" xfId="68"/>
    <cellStyle name="Accent2" xfId="22" builtinId="33" customBuiltin="1"/>
    <cellStyle name="Accent2 2" xfId="69"/>
    <cellStyle name="Accent3" xfId="26" builtinId="37" customBuiltin="1"/>
    <cellStyle name="Accent3 2" xfId="70"/>
    <cellStyle name="Accent4" xfId="30" builtinId="41" customBuiltin="1"/>
    <cellStyle name="Accent4 2" xfId="71"/>
    <cellStyle name="Accent5" xfId="34" builtinId="45" customBuiltin="1"/>
    <cellStyle name="Accent5 2" xfId="72"/>
    <cellStyle name="Accent6" xfId="38" builtinId="49" customBuiltin="1"/>
    <cellStyle name="Accent6 2" xfId="73"/>
    <cellStyle name="Bad" xfId="7" builtinId="27" customBuiltin="1"/>
    <cellStyle name="Bad 2" xfId="74"/>
    <cellStyle name="Calculation" xfId="11" builtinId="22" customBuiltin="1"/>
    <cellStyle name="Calculation 2" xfId="75"/>
    <cellStyle name="Calculation 2 10" xfId="76"/>
    <cellStyle name="Calculation 2 10 2" xfId="987"/>
    <cellStyle name="Calculation 2 11" xfId="986"/>
    <cellStyle name="Calculation 2 2" xfId="77"/>
    <cellStyle name="Calculation 2 2 10" xfId="988"/>
    <cellStyle name="Calculation 2 2 2" xfId="78"/>
    <cellStyle name="Calculation 2 2 2 2" xfId="79"/>
    <cellStyle name="Calculation 2 2 2 2 2" xfId="80"/>
    <cellStyle name="Calculation 2 2 2 2 2 2" xfId="81"/>
    <cellStyle name="Calculation 2 2 2 2 2 2 2" xfId="992"/>
    <cellStyle name="Calculation 2 2 2 2 2 3" xfId="991"/>
    <cellStyle name="Calculation 2 2 2 2 3" xfId="82"/>
    <cellStyle name="Calculation 2 2 2 2 3 2" xfId="83"/>
    <cellStyle name="Calculation 2 2 2 2 3 2 2" xfId="994"/>
    <cellStyle name="Calculation 2 2 2 2 3 3" xfId="993"/>
    <cellStyle name="Calculation 2 2 2 2 4" xfId="84"/>
    <cellStyle name="Calculation 2 2 2 2 4 2" xfId="995"/>
    <cellStyle name="Calculation 2 2 2 2 5" xfId="990"/>
    <cellStyle name="Calculation 2 2 2 3" xfId="85"/>
    <cellStyle name="Calculation 2 2 2 3 2" xfId="86"/>
    <cellStyle name="Calculation 2 2 2 3 2 2" xfId="87"/>
    <cellStyle name="Calculation 2 2 2 3 2 2 2" xfId="998"/>
    <cellStyle name="Calculation 2 2 2 3 2 3" xfId="997"/>
    <cellStyle name="Calculation 2 2 2 3 3" xfId="88"/>
    <cellStyle name="Calculation 2 2 2 3 3 2" xfId="89"/>
    <cellStyle name="Calculation 2 2 2 3 3 2 2" xfId="1000"/>
    <cellStyle name="Calculation 2 2 2 3 3 3" xfId="999"/>
    <cellStyle name="Calculation 2 2 2 3 4" xfId="90"/>
    <cellStyle name="Calculation 2 2 2 3 4 2" xfId="1001"/>
    <cellStyle name="Calculation 2 2 2 3 5" xfId="996"/>
    <cellStyle name="Calculation 2 2 2 4" xfId="91"/>
    <cellStyle name="Calculation 2 2 2 4 2" xfId="92"/>
    <cellStyle name="Calculation 2 2 2 4 2 2" xfId="1003"/>
    <cellStyle name="Calculation 2 2 2 4 3" xfId="1002"/>
    <cellStyle name="Calculation 2 2 2 5" xfId="93"/>
    <cellStyle name="Calculation 2 2 2 5 2" xfId="94"/>
    <cellStyle name="Calculation 2 2 2 5 2 2" xfId="1005"/>
    <cellStyle name="Calculation 2 2 2 5 3" xfId="1004"/>
    <cellStyle name="Calculation 2 2 2 6" xfId="95"/>
    <cellStyle name="Calculation 2 2 2 6 2" xfId="96"/>
    <cellStyle name="Calculation 2 2 2 6 2 2" xfId="1007"/>
    <cellStyle name="Calculation 2 2 2 6 3" xfId="1006"/>
    <cellStyle name="Calculation 2 2 2 7" xfId="97"/>
    <cellStyle name="Calculation 2 2 2 7 2" xfId="1008"/>
    <cellStyle name="Calculation 2 2 2 8" xfId="989"/>
    <cellStyle name="Calculation 2 2 3" xfId="98"/>
    <cellStyle name="Calculation 2 2 3 2" xfId="99"/>
    <cellStyle name="Calculation 2 2 3 2 2" xfId="100"/>
    <cellStyle name="Calculation 2 2 3 2 2 2" xfId="101"/>
    <cellStyle name="Calculation 2 2 3 2 2 2 2" xfId="1012"/>
    <cellStyle name="Calculation 2 2 3 2 2 3" xfId="1011"/>
    <cellStyle name="Calculation 2 2 3 2 3" xfId="102"/>
    <cellStyle name="Calculation 2 2 3 2 3 2" xfId="103"/>
    <cellStyle name="Calculation 2 2 3 2 3 2 2" xfId="1014"/>
    <cellStyle name="Calculation 2 2 3 2 3 3" xfId="1013"/>
    <cellStyle name="Calculation 2 2 3 2 4" xfId="104"/>
    <cellStyle name="Calculation 2 2 3 2 4 2" xfId="1015"/>
    <cellStyle name="Calculation 2 2 3 2 5" xfId="1010"/>
    <cellStyle name="Calculation 2 2 3 3" xfId="105"/>
    <cellStyle name="Calculation 2 2 3 3 2" xfId="106"/>
    <cellStyle name="Calculation 2 2 3 3 2 2" xfId="107"/>
    <cellStyle name="Calculation 2 2 3 3 2 2 2" xfId="1018"/>
    <cellStyle name="Calculation 2 2 3 3 2 3" xfId="1017"/>
    <cellStyle name="Calculation 2 2 3 3 3" xfId="108"/>
    <cellStyle name="Calculation 2 2 3 3 3 2" xfId="109"/>
    <cellStyle name="Calculation 2 2 3 3 3 2 2" xfId="1020"/>
    <cellStyle name="Calculation 2 2 3 3 3 3" xfId="1019"/>
    <cellStyle name="Calculation 2 2 3 3 4" xfId="110"/>
    <cellStyle name="Calculation 2 2 3 3 4 2" xfId="1021"/>
    <cellStyle name="Calculation 2 2 3 3 5" xfId="1016"/>
    <cellStyle name="Calculation 2 2 3 4" xfId="111"/>
    <cellStyle name="Calculation 2 2 3 4 2" xfId="112"/>
    <cellStyle name="Calculation 2 2 3 4 2 2" xfId="1023"/>
    <cellStyle name="Calculation 2 2 3 4 3" xfId="1022"/>
    <cellStyle name="Calculation 2 2 3 5" xfId="113"/>
    <cellStyle name="Calculation 2 2 3 5 2" xfId="114"/>
    <cellStyle name="Calculation 2 2 3 5 2 2" xfId="1025"/>
    <cellStyle name="Calculation 2 2 3 5 3" xfId="1024"/>
    <cellStyle name="Calculation 2 2 3 6" xfId="115"/>
    <cellStyle name="Calculation 2 2 3 6 2" xfId="116"/>
    <cellStyle name="Calculation 2 2 3 6 2 2" xfId="1027"/>
    <cellStyle name="Calculation 2 2 3 6 3" xfId="1026"/>
    <cellStyle name="Calculation 2 2 3 7" xfId="117"/>
    <cellStyle name="Calculation 2 2 3 7 2" xfId="1028"/>
    <cellStyle name="Calculation 2 2 3 8" xfId="1009"/>
    <cellStyle name="Calculation 2 2 4" xfId="118"/>
    <cellStyle name="Calculation 2 2 4 2" xfId="119"/>
    <cellStyle name="Calculation 2 2 4 2 2" xfId="120"/>
    <cellStyle name="Calculation 2 2 4 2 2 2" xfId="1031"/>
    <cellStyle name="Calculation 2 2 4 2 3" xfId="1030"/>
    <cellStyle name="Calculation 2 2 4 3" xfId="121"/>
    <cellStyle name="Calculation 2 2 4 3 2" xfId="122"/>
    <cellStyle name="Calculation 2 2 4 3 2 2" xfId="1033"/>
    <cellStyle name="Calculation 2 2 4 3 3" xfId="1032"/>
    <cellStyle name="Calculation 2 2 4 4" xfId="123"/>
    <cellStyle name="Calculation 2 2 4 4 2" xfId="1034"/>
    <cellStyle name="Calculation 2 2 4 5" xfId="1029"/>
    <cellStyle name="Calculation 2 2 5" xfId="124"/>
    <cellStyle name="Calculation 2 2 5 2" xfId="125"/>
    <cellStyle name="Calculation 2 2 5 2 2" xfId="126"/>
    <cellStyle name="Calculation 2 2 5 2 2 2" xfId="1037"/>
    <cellStyle name="Calculation 2 2 5 2 3" xfId="1036"/>
    <cellStyle name="Calculation 2 2 5 3" xfId="127"/>
    <cellStyle name="Calculation 2 2 5 3 2" xfId="128"/>
    <cellStyle name="Calculation 2 2 5 3 2 2" xfId="1039"/>
    <cellStyle name="Calculation 2 2 5 3 3" xfId="1038"/>
    <cellStyle name="Calculation 2 2 5 4" xfId="129"/>
    <cellStyle name="Calculation 2 2 5 4 2" xfId="1040"/>
    <cellStyle name="Calculation 2 2 5 5" xfId="1035"/>
    <cellStyle name="Calculation 2 2 6" xfId="130"/>
    <cellStyle name="Calculation 2 2 6 2" xfId="131"/>
    <cellStyle name="Calculation 2 2 6 2 2" xfId="1042"/>
    <cellStyle name="Calculation 2 2 6 3" xfId="1041"/>
    <cellStyle name="Calculation 2 2 7" xfId="132"/>
    <cellStyle name="Calculation 2 2 7 2" xfId="133"/>
    <cellStyle name="Calculation 2 2 7 2 2" xfId="1044"/>
    <cellStyle name="Calculation 2 2 7 3" xfId="1043"/>
    <cellStyle name="Calculation 2 2 8" xfId="134"/>
    <cellStyle name="Calculation 2 2 8 2" xfId="135"/>
    <cellStyle name="Calculation 2 2 8 2 2" xfId="1046"/>
    <cellStyle name="Calculation 2 2 8 3" xfId="1045"/>
    <cellStyle name="Calculation 2 2 9" xfId="136"/>
    <cellStyle name="Calculation 2 2 9 2" xfId="1047"/>
    <cellStyle name="Calculation 2 3" xfId="137"/>
    <cellStyle name="Calculation 2 3 10" xfId="1048"/>
    <cellStyle name="Calculation 2 3 2" xfId="138"/>
    <cellStyle name="Calculation 2 3 2 2" xfId="139"/>
    <cellStyle name="Calculation 2 3 2 2 2" xfId="140"/>
    <cellStyle name="Calculation 2 3 2 2 2 2" xfId="141"/>
    <cellStyle name="Calculation 2 3 2 2 2 2 2" xfId="1052"/>
    <cellStyle name="Calculation 2 3 2 2 2 3" xfId="1051"/>
    <cellStyle name="Calculation 2 3 2 2 3" xfId="142"/>
    <cellStyle name="Calculation 2 3 2 2 3 2" xfId="143"/>
    <cellStyle name="Calculation 2 3 2 2 3 2 2" xfId="1054"/>
    <cellStyle name="Calculation 2 3 2 2 3 3" xfId="1053"/>
    <cellStyle name="Calculation 2 3 2 2 4" xfId="144"/>
    <cellStyle name="Calculation 2 3 2 2 4 2" xfId="1055"/>
    <cellStyle name="Calculation 2 3 2 2 5" xfId="1050"/>
    <cellStyle name="Calculation 2 3 2 3" xfId="145"/>
    <cellStyle name="Calculation 2 3 2 3 2" xfId="146"/>
    <cellStyle name="Calculation 2 3 2 3 2 2" xfId="147"/>
    <cellStyle name="Calculation 2 3 2 3 2 2 2" xfId="1058"/>
    <cellStyle name="Calculation 2 3 2 3 2 3" xfId="1057"/>
    <cellStyle name="Calculation 2 3 2 3 3" xfId="148"/>
    <cellStyle name="Calculation 2 3 2 3 3 2" xfId="149"/>
    <cellStyle name="Calculation 2 3 2 3 3 2 2" xfId="1060"/>
    <cellStyle name="Calculation 2 3 2 3 3 3" xfId="1059"/>
    <cellStyle name="Calculation 2 3 2 3 4" xfId="150"/>
    <cellStyle name="Calculation 2 3 2 3 4 2" xfId="1061"/>
    <cellStyle name="Calculation 2 3 2 3 5" xfId="1056"/>
    <cellStyle name="Calculation 2 3 2 4" xfId="151"/>
    <cellStyle name="Calculation 2 3 2 4 2" xfId="152"/>
    <cellStyle name="Calculation 2 3 2 4 2 2" xfId="1063"/>
    <cellStyle name="Calculation 2 3 2 4 3" xfId="1062"/>
    <cellStyle name="Calculation 2 3 2 5" xfId="153"/>
    <cellStyle name="Calculation 2 3 2 5 2" xfId="154"/>
    <cellStyle name="Calculation 2 3 2 5 2 2" xfId="1065"/>
    <cellStyle name="Calculation 2 3 2 5 3" xfId="1064"/>
    <cellStyle name="Calculation 2 3 2 6" xfId="155"/>
    <cellStyle name="Calculation 2 3 2 6 2" xfId="156"/>
    <cellStyle name="Calculation 2 3 2 6 2 2" xfId="1067"/>
    <cellStyle name="Calculation 2 3 2 6 3" xfId="1066"/>
    <cellStyle name="Calculation 2 3 2 7" xfId="157"/>
    <cellStyle name="Calculation 2 3 2 7 2" xfId="1068"/>
    <cellStyle name="Calculation 2 3 2 8" xfId="1049"/>
    <cellStyle name="Calculation 2 3 3" xfId="158"/>
    <cellStyle name="Calculation 2 3 3 2" xfId="159"/>
    <cellStyle name="Calculation 2 3 3 2 2" xfId="160"/>
    <cellStyle name="Calculation 2 3 3 2 2 2" xfId="161"/>
    <cellStyle name="Calculation 2 3 3 2 2 2 2" xfId="1072"/>
    <cellStyle name="Calculation 2 3 3 2 2 3" xfId="1071"/>
    <cellStyle name="Calculation 2 3 3 2 3" xfId="162"/>
    <cellStyle name="Calculation 2 3 3 2 3 2" xfId="163"/>
    <cellStyle name="Calculation 2 3 3 2 3 2 2" xfId="1074"/>
    <cellStyle name="Calculation 2 3 3 2 3 3" xfId="1073"/>
    <cellStyle name="Calculation 2 3 3 2 4" xfId="164"/>
    <cellStyle name="Calculation 2 3 3 2 4 2" xfId="1075"/>
    <cellStyle name="Calculation 2 3 3 2 5" xfId="1070"/>
    <cellStyle name="Calculation 2 3 3 3" xfId="165"/>
    <cellStyle name="Calculation 2 3 3 3 2" xfId="166"/>
    <cellStyle name="Calculation 2 3 3 3 2 2" xfId="167"/>
    <cellStyle name="Calculation 2 3 3 3 2 2 2" xfId="1078"/>
    <cellStyle name="Calculation 2 3 3 3 2 3" xfId="1077"/>
    <cellStyle name="Calculation 2 3 3 3 3" xfId="168"/>
    <cellStyle name="Calculation 2 3 3 3 3 2" xfId="169"/>
    <cellStyle name="Calculation 2 3 3 3 3 2 2" xfId="1080"/>
    <cellStyle name="Calculation 2 3 3 3 3 3" xfId="1079"/>
    <cellStyle name="Calculation 2 3 3 3 4" xfId="170"/>
    <cellStyle name="Calculation 2 3 3 3 4 2" xfId="1081"/>
    <cellStyle name="Calculation 2 3 3 3 5" xfId="1076"/>
    <cellStyle name="Calculation 2 3 3 4" xfId="171"/>
    <cellStyle name="Calculation 2 3 3 4 2" xfId="172"/>
    <cellStyle name="Calculation 2 3 3 4 2 2" xfId="1083"/>
    <cellStyle name="Calculation 2 3 3 4 3" xfId="1082"/>
    <cellStyle name="Calculation 2 3 3 5" xfId="173"/>
    <cellStyle name="Calculation 2 3 3 5 2" xfId="174"/>
    <cellStyle name="Calculation 2 3 3 5 2 2" xfId="1085"/>
    <cellStyle name="Calculation 2 3 3 5 3" xfId="1084"/>
    <cellStyle name="Calculation 2 3 3 6" xfId="175"/>
    <cellStyle name="Calculation 2 3 3 6 2" xfId="176"/>
    <cellStyle name="Calculation 2 3 3 6 2 2" xfId="1087"/>
    <cellStyle name="Calculation 2 3 3 6 3" xfId="1086"/>
    <cellStyle name="Calculation 2 3 3 7" xfId="177"/>
    <cellStyle name="Calculation 2 3 3 7 2" xfId="1088"/>
    <cellStyle name="Calculation 2 3 3 8" xfId="1069"/>
    <cellStyle name="Calculation 2 3 4" xfId="178"/>
    <cellStyle name="Calculation 2 3 4 2" xfId="179"/>
    <cellStyle name="Calculation 2 3 4 2 2" xfId="180"/>
    <cellStyle name="Calculation 2 3 4 2 2 2" xfId="1091"/>
    <cellStyle name="Calculation 2 3 4 2 3" xfId="1090"/>
    <cellStyle name="Calculation 2 3 4 3" xfId="181"/>
    <cellStyle name="Calculation 2 3 4 3 2" xfId="182"/>
    <cellStyle name="Calculation 2 3 4 3 2 2" xfId="1093"/>
    <cellStyle name="Calculation 2 3 4 3 3" xfId="1092"/>
    <cellStyle name="Calculation 2 3 4 4" xfId="183"/>
    <cellStyle name="Calculation 2 3 4 4 2" xfId="1094"/>
    <cellStyle name="Calculation 2 3 4 5" xfId="1089"/>
    <cellStyle name="Calculation 2 3 5" xfId="184"/>
    <cellStyle name="Calculation 2 3 5 2" xfId="185"/>
    <cellStyle name="Calculation 2 3 5 2 2" xfId="186"/>
    <cellStyle name="Calculation 2 3 5 2 2 2" xfId="1097"/>
    <cellStyle name="Calculation 2 3 5 2 3" xfId="1096"/>
    <cellStyle name="Calculation 2 3 5 3" xfId="187"/>
    <cellStyle name="Calculation 2 3 5 3 2" xfId="188"/>
    <cellStyle name="Calculation 2 3 5 3 2 2" xfId="1099"/>
    <cellStyle name="Calculation 2 3 5 3 3" xfId="1098"/>
    <cellStyle name="Calculation 2 3 5 4" xfId="189"/>
    <cellStyle name="Calculation 2 3 5 4 2" xfId="1100"/>
    <cellStyle name="Calculation 2 3 5 5" xfId="1095"/>
    <cellStyle name="Calculation 2 3 6" xfId="190"/>
    <cellStyle name="Calculation 2 3 6 2" xfId="191"/>
    <cellStyle name="Calculation 2 3 6 2 2" xfId="1102"/>
    <cellStyle name="Calculation 2 3 6 3" xfId="1101"/>
    <cellStyle name="Calculation 2 3 7" xfId="192"/>
    <cellStyle name="Calculation 2 3 7 2" xfId="193"/>
    <cellStyle name="Calculation 2 3 7 2 2" xfId="1104"/>
    <cellStyle name="Calculation 2 3 7 3" xfId="1103"/>
    <cellStyle name="Calculation 2 3 8" xfId="194"/>
    <cellStyle name="Calculation 2 3 8 2" xfId="195"/>
    <cellStyle name="Calculation 2 3 8 2 2" xfId="1106"/>
    <cellStyle name="Calculation 2 3 8 3" xfId="1105"/>
    <cellStyle name="Calculation 2 3 9" xfId="196"/>
    <cellStyle name="Calculation 2 3 9 2" xfId="1107"/>
    <cellStyle name="Calculation 2 4" xfId="197"/>
    <cellStyle name="Calculation 2 4 2" xfId="198"/>
    <cellStyle name="Calculation 2 4 2 2" xfId="199"/>
    <cellStyle name="Calculation 2 4 2 2 2" xfId="200"/>
    <cellStyle name="Calculation 2 4 2 2 2 2" xfId="1111"/>
    <cellStyle name="Calculation 2 4 2 2 3" xfId="1110"/>
    <cellStyle name="Calculation 2 4 2 3" xfId="201"/>
    <cellStyle name="Calculation 2 4 2 3 2" xfId="202"/>
    <cellStyle name="Calculation 2 4 2 3 2 2" xfId="1113"/>
    <cellStyle name="Calculation 2 4 2 3 3" xfId="1112"/>
    <cellStyle name="Calculation 2 4 2 4" xfId="203"/>
    <cellStyle name="Calculation 2 4 2 4 2" xfId="1114"/>
    <cellStyle name="Calculation 2 4 2 5" xfId="1109"/>
    <cellStyle name="Calculation 2 4 3" xfId="204"/>
    <cellStyle name="Calculation 2 4 3 2" xfId="205"/>
    <cellStyle name="Calculation 2 4 3 2 2" xfId="206"/>
    <cellStyle name="Calculation 2 4 3 2 2 2" xfId="1117"/>
    <cellStyle name="Calculation 2 4 3 2 3" xfId="1116"/>
    <cellStyle name="Calculation 2 4 3 3" xfId="207"/>
    <cellStyle name="Calculation 2 4 3 3 2" xfId="208"/>
    <cellStyle name="Calculation 2 4 3 3 2 2" xfId="1119"/>
    <cellStyle name="Calculation 2 4 3 3 3" xfId="1118"/>
    <cellStyle name="Calculation 2 4 3 4" xfId="209"/>
    <cellStyle name="Calculation 2 4 3 4 2" xfId="1120"/>
    <cellStyle name="Calculation 2 4 3 5" xfId="1115"/>
    <cellStyle name="Calculation 2 4 4" xfId="210"/>
    <cellStyle name="Calculation 2 4 4 2" xfId="211"/>
    <cellStyle name="Calculation 2 4 4 2 2" xfId="1122"/>
    <cellStyle name="Calculation 2 4 4 3" xfId="1121"/>
    <cellStyle name="Calculation 2 4 5" xfId="212"/>
    <cellStyle name="Calculation 2 4 5 2" xfId="213"/>
    <cellStyle name="Calculation 2 4 5 2 2" xfId="1124"/>
    <cellStyle name="Calculation 2 4 5 3" xfId="1123"/>
    <cellStyle name="Calculation 2 4 6" xfId="214"/>
    <cellStyle name="Calculation 2 4 6 2" xfId="215"/>
    <cellStyle name="Calculation 2 4 6 2 2" xfId="1126"/>
    <cellStyle name="Calculation 2 4 6 3" xfId="1125"/>
    <cellStyle name="Calculation 2 4 7" xfId="216"/>
    <cellStyle name="Calculation 2 4 7 2" xfId="1127"/>
    <cellStyle name="Calculation 2 4 8" xfId="1108"/>
    <cellStyle name="Calculation 2 5" xfId="217"/>
    <cellStyle name="Calculation 2 5 2" xfId="218"/>
    <cellStyle name="Calculation 2 5 2 2" xfId="219"/>
    <cellStyle name="Calculation 2 5 2 2 2" xfId="220"/>
    <cellStyle name="Calculation 2 5 2 2 2 2" xfId="1131"/>
    <cellStyle name="Calculation 2 5 2 2 3" xfId="1130"/>
    <cellStyle name="Calculation 2 5 2 3" xfId="221"/>
    <cellStyle name="Calculation 2 5 2 3 2" xfId="222"/>
    <cellStyle name="Calculation 2 5 2 3 2 2" xfId="1133"/>
    <cellStyle name="Calculation 2 5 2 3 3" xfId="1132"/>
    <cellStyle name="Calculation 2 5 2 4" xfId="223"/>
    <cellStyle name="Calculation 2 5 2 4 2" xfId="1134"/>
    <cellStyle name="Calculation 2 5 2 5" xfId="1129"/>
    <cellStyle name="Calculation 2 5 3" xfId="224"/>
    <cellStyle name="Calculation 2 5 3 2" xfId="225"/>
    <cellStyle name="Calculation 2 5 3 2 2" xfId="226"/>
    <cellStyle name="Calculation 2 5 3 2 2 2" xfId="1137"/>
    <cellStyle name="Calculation 2 5 3 2 3" xfId="1136"/>
    <cellStyle name="Calculation 2 5 3 3" xfId="227"/>
    <cellStyle name="Calculation 2 5 3 3 2" xfId="228"/>
    <cellStyle name="Calculation 2 5 3 3 2 2" xfId="1139"/>
    <cellStyle name="Calculation 2 5 3 3 3" xfId="1138"/>
    <cellStyle name="Calculation 2 5 3 4" xfId="229"/>
    <cellStyle name="Calculation 2 5 3 4 2" xfId="1140"/>
    <cellStyle name="Calculation 2 5 3 5" xfId="1135"/>
    <cellStyle name="Calculation 2 5 4" xfId="230"/>
    <cellStyle name="Calculation 2 5 4 2" xfId="231"/>
    <cellStyle name="Calculation 2 5 4 2 2" xfId="1142"/>
    <cellStyle name="Calculation 2 5 4 3" xfId="1141"/>
    <cellStyle name="Calculation 2 5 5" xfId="232"/>
    <cellStyle name="Calculation 2 5 5 2" xfId="233"/>
    <cellStyle name="Calculation 2 5 5 2 2" xfId="1144"/>
    <cellStyle name="Calculation 2 5 5 3" xfId="1143"/>
    <cellStyle name="Calculation 2 5 6" xfId="234"/>
    <cellStyle name="Calculation 2 5 6 2" xfId="235"/>
    <cellStyle name="Calculation 2 5 6 2 2" xfId="1146"/>
    <cellStyle name="Calculation 2 5 6 3" xfId="1145"/>
    <cellStyle name="Calculation 2 5 7" xfId="236"/>
    <cellStyle name="Calculation 2 5 7 2" xfId="1147"/>
    <cellStyle name="Calculation 2 5 8" xfId="1128"/>
    <cellStyle name="Calculation 2 6" xfId="237"/>
    <cellStyle name="Calculation 2 6 2" xfId="238"/>
    <cellStyle name="Calculation 2 6 2 2" xfId="239"/>
    <cellStyle name="Calculation 2 6 2 2 2" xfId="1150"/>
    <cellStyle name="Calculation 2 6 2 3" xfId="1149"/>
    <cellStyle name="Calculation 2 6 3" xfId="240"/>
    <cellStyle name="Calculation 2 6 3 2" xfId="241"/>
    <cellStyle name="Calculation 2 6 3 2 2" xfId="1152"/>
    <cellStyle name="Calculation 2 6 3 3" xfId="1151"/>
    <cellStyle name="Calculation 2 6 4" xfId="242"/>
    <cellStyle name="Calculation 2 6 4 2" xfId="1153"/>
    <cellStyle name="Calculation 2 6 5" xfId="1148"/>
    <cellStyle name="Calculation 2 7" xfId="243"/>
    <cellStyle name="Calculation 2 7 2" xfId="244"/>
    <cellStyle name="Calculation 2 7 2 2" xfId="245"/>
    <cellStyle name="Calculation 2 7 2 2 2" xfId="1156"/>
    <cellStyle name="Calculation 2 7 2 3" xfId="1155"/>
    <cellStyle name="Calculation 2 7 3" xfId="246"/>
    <cellStyle name="Calculation 2 7 3 2" xfId="247"/>
    <cellStyle name="Calculation 2 7 3 2 2" xfId="1158"/>
    <cellStyle name="Calculation 2 7 3 3" xfId="1157"/>
    <cellStyle name="Calculation 2 7 4" xfId="248"/>
    <cellStyle name="Calculation 2 7 4 2" xfId="1159"/>
    <cellStyle name="Calculation 2 7 5" xfId="1154"/>
    <cellStyle name="Calculation 2 8" xfId="249"/>
    <cellStyle name="Calculation 2 8 2" xfId="250"/>
    <cellStyle name="Calculation 2 8 2 2" xfId="1161"/>
    <cellStyle name="Calculation 2 8 3" xfId="1160"/>
    <cellStyle name="Calculation 2 9" xfId="251"/>
    <cellStyle name="Calculation 2 9 2" xfId="252"/>
    <cellStyle name="Calculation 2 9 2 2" xfId="1163"/>
    <cellStyle name="Calculation 2 9 3" xfId="1162"/>
    <cellStyle name="Check Cell" xfId="13" builtinId="23" customBuiltin="1"/>
    <cellStyle name="Check Cell 2" xfId="253"/>
    <cellStyle name="Comma 2" xfId="43"/>
    <cellStyle name="Currency 2" xfId="45"/>
    <cellStyle name="Explanatory Text" xfId="16" builtinId="53" customBuiltin="1"/>
    <cellStyle name="Explanatory Text 2" xfId="254"/>
    <cellStyle name="Good" xfId="6" builtinId="26" customBuiltin="1"/>
    <cellStyle name="Good 2" xfId="255"/>
    <cellStyle name="Heading 1" xfId="2" builtinId="16" customBuiltin="1"/>
    <cellStyle name="Heading 1 2" xfId="256"/>
    <cellStyle name="Heading 2" xfId="3" builtinId="17" customBuiltin="1"/>
    <cellStyle name="Heading 2 2" xfId="257"/>
    <cellStyle name="Heading 3" xfId="4" builtinId="18" customBuiltin="1"/>
    <cellStyle name="Heading 3 2" xfId="258"/>
    <cellStyle name="Heading 4" xfId="5" builtinId="19" customBuiltin="1"/>
    <cellStyle name="Heading 4 2" xfId="259"/>
    <cellStyle name="Input" xfId="9" builtinId="20" customBuiltin="1"/>
    <cellStyle name="Input 2" xfId="260"/>
    <cellStyle name="Input 2 10" xfId="261"/>
    <cellStyle name="Input 2 10 2" xfId="1165"/>
    <cellStyle name="Input 2 11" xfId="1164"/>
    <cellStyle name="Input 2 2" xfId="262"/>
    <cellStyle name="Input 2 2 10" xfId="1166"/>
    <cellStyle name="Input 2 2 2" xfId="263"/>
    <cellStyle name="Input 2 2 2 2" xfId="264"/>
    <cellStyle name="Input 2 2 2 2 2" xfId="265"/>
    <cellStyle name="Input 2 2 2 2 2 2" xfId="266"/>
    <cellStyle name="Input 2 2 2 2 2 2 2" xfId="1170"/>
    <cellStyle name="Input 2 2 2 2 2 3" xfId="1169"/>
    <cellStyle name="Input 2 2 2 2 3" xfId="267"/>
    <cellStyle name="Input 2 2 2 2 3 2" xfId="268"/>
    <cellStyle name="Input 2 2 2 2 3 2 2" xfId="1172"/>
    <cellStyle name="Input 2 2 2 2 3 3" xfId="1171"/>
    <cellStyle name="Input 2 2 2 2 4" xfId="269"/>
    <cellStyle name="Input 2 2 2 2 4 2" xfId="1173"/>
    <cellStyle name="Input 2 2 2 2 5" xfId="1168"/>
    <cellStyle name="Input 2 2 2 3" xfId="270"/>
    <cellStyle name="Input 2 2 2 3 2" xfId="271"/>
    <cellStyle name="Input 2 2 2 3 2 2" xfId="272"/>
    <cellStyle name="Input 2 2 2 3 2 2 2" xfId="1176"/>
    <cellStyle name="Input 2 2 2 3 2 3" xfId="1175"/>
    <cellStyle name="Input 2 2 2 3 3" xfId="273"/>
    <cellStyle name="Input 2 2 2 3 3 2" xfId="274"/>
    <cellStyle name="Input 2 2 2 3 3 2 2" xfId="1178"/>
    <cellStyle name="Input 2 2 2 3 3 3" xfId="1177"/>
    <cellStyle name="Input 2 2 2 3 4" xfId="275"/>
    <cellStyle name="Input 2 2 2 3 4 2" xfId="1179"/>
    <cellStyle name="Input 2 2 2 3 5" xfId="1174"/>
    <cellStyle name="Input 2 2 2 4" xfId="276"/>
    <cellStyle name="Input 2 2 2 4 2" xfId="277"/>
    <cellStyle name="Input 2 2 2 4 2 2" xfId="1181"/>
    <cellStyle name="Input 2 2 2 4 3" xfId="1180"/>
    <cellStyle name="Input 2 2 2 5" xfId="278"/>
    <cellStyle name="Input 2 2 2 5 2" xfId="279"/>
    <cellStyle name="Input 2 2 2 5 2 2" xfId="1183"/>
    <cellStyle name="Input 2 2 2 5 3" xfId="1182"/>
    <cellStyle name="Input 2 2 2 6" xfId="280"/>
    <cellStyle name="Input 2 2 2 6 2" xfId="281"/>
    <cellStyle name="Input 2 2 2 6 2 2" xfId="1185"/>
    <cellStyle name="Input 2 2 2 6 3" xfId="1184"/>
    <cellStyle name="Input 2 2 2 7" xfId="282"/>
    <cellStyle name="Input 2 2 2 7 2" xfId="1186"/>
    <cellStyle name="Input 2 2 2 8" xfId="1167"/>
    <cellStyle name="Input 2 2 3" xfId="283"/>
    <cellStyle name="Input 2 2 3 2" xfId="284"/>
    <cellStyle name="Input 2 2 3 2 2" xfId="285"/>
    <cellStyle name="Input 2 2 3 2 2 2" xfId="286"/>
    <cellStyle name="Input 2 2 3 2 2 2 2" xfId="1190"/>
    <cellStyle name="Input 2 2 3 2 2 3" xfId="1189"/>
    <cellStyle name="Input 2 2 3 2 3" xfId="287"/>
    <cellStyle name="Input 2 2 3 2 3 2" xfId="288"/>
    <cellStyle name="Input 2 2 3 2 3 2 2" xfId="1192"/>
    <cellStyle name="Input 2 2 3 2 3 3" xfId="1191"/>
    <cellStyle name="Input 2 2 3 2 4" xfId="289"/>
    <cellStyle name="Input 2 2 3 2 4 2" xfId="1193"/>
    <cellStyle name="Input 2 2 3 2 5" xfId="1188"/>
    <cellStyle name="Input 2 2 3 3" xfId="290"/>
    <cellStyle name="Input 2 2 3 3 2" xfId="291"/>
    <cellStyle name="Input 2 2 3 3 2 2" xfId="292"/>
    <cellStyle name="Input 2 2 3 3 2 2 2" xfId="1196"/>
    <cellStyle name="Input 2 2 3 3 2 3" xfId="1195"/>
    <cellStyle name="Input 2 2 3 3 3" xfId="293"/>
    <cellStyle name="Input 2 2 3 3 3 2" xfId="294"/>
    <cellStyle name="Input 2 2 3 3 3 2 2" xfId="1198"/>
    <cellStyle name="Input 2 2 3 3 3 3" xfId="1197"/>
    <cellStyle name="Input 2 2 3 3 4" xfId="295"/>
    <cellStyle name="Input 2 2 3 3 4 2" xfId="1199"/>
    <cellStyle name="Input 2 2 3 3 5" xfId="1194"/>
    <cellStyle name="Input 2 2 3 4" xfId="296"/>
    <cellStyle name="Input 2 2 3 4 2" xfId="297"/>
    <cellStyle name="Input 2 2 3 4 2 2" xfId="1201"/>
    <cellStyle name="Input 2 2 3 4 3" xfId="1200"/>
    <cellStyle name="Input 2 2 3 5" xfId="298"/>
    <cellStyle name="Input 2 2 3 5 2" xfId="299"/>
    <cellStyle name="Input 2 2 3 5 2 2" xfId="1203"/>
    <cellStyle name="Input 2 2 3 5 3" xfId="1202"/>
    <cellStyle name="Input 2 2 3 6" xfId="300"/>
    <cellStyle name="Input 2 2 3 6 2" xfId="301"/>
    <cellStyle name="Input 2 2 3 6 2 2" xfId="1205"/>
    <cellStyle name="Input 2 2 3 6 3" xfId="1204"/>
    <cellStyle name="Input 2 2 3 7" xfId="302"/>
    <cellStyle name="Input 2 2 3 7 2" xfId="1206"/>
    <cellStyle name="Input 2 2 3 8" xfId="1187"/>
    <cellStyle name="Input 2 2 4" xfId="303"/>
    <cellStyle name="Input 2 2 4 2" xfId="304"/>
    <cellStyle name="Input 2 2 4 2 2" xfId="305"/>
    <cellStyle name="Input 2 2 4 2 2 2" xfId="1209"/>
    <cellStyle name="Input 2 2 4 2 3" xfId="1208"/>
    <cellStyle name="Input 2 2 4 3" xfId="306"/>
    <cellStyle name="Input 2 2 4 3 2" xfId="307"/>
    <cellStyle name="Input 2 2 4 3 2 2" xfId="1211"/>
    <cellStyle name="Input 2 2 4 3 3" xfId="1210"/>
    <cellStyle name="Input 2 2 4 4" xfId="308"/>
    <cellStyle name="Input 2 2 4 4 2" xfId="1212"/>
    <cellStyle name="Input 2 2 4 5" xfId="1207"/>
    <cellStyle name="Input 2 2 5" xfId="309"/>
    <cellStyle name="Input 2 2 5 2" xfId="310"/>
    <cellStyle name="Input 2 2 5 2 2" xfId="311"/>
    <cellStyle name="Input 2 2 5 2 2 2" xfId="1215"/>
    <cellStyle name="Input 2 2 5 2 3" xfId="1214"/>
    <cellStyle name="Input 2 2 5 3" xfId="312"/>
    <cellStyle name="Input 2 2 5 3 2" xfId="313"/>
    <cellStyle name="Input 2 2 5 3 2 2" xfId="1217"/>
    <cellStyle name="Input 2 2 5 3 3" xfId="1216"/>
    <cellStyle name="Input 2 2 5 4" xfId="314"/>
    <cellStyle name="Input 2 2 5 4 2" xfId="1218"/>
    <cellStyle name="Input 2 2 5 5" xfId="1213"/>
    <cellStyle name="Input 2 2 6" xfId="315"/>
    <cellStyle name="Input 2 2 6 2" xfId="316"/>
    <cellStyle name="Input 2 2 6 2 2" xfId="1220"/>
    <cellStyle name="Input 2 2 6 3" xfId="1219"/>
    <cellStyle name="Input 2 2 7" xfId="317"/>
    <cellStyle name="Input 2 2 7 2" xfId="318"/>
    <cellStyle name="Input 2 2 7 2 2" xfId="1222"/>
    <cellStyle name="Input 2 2 7 3" xfId="1221"/>
    <cellStyle name="Input 2 2 8" xfId="319"/>
    <cellStyle name="Input 2 2 8 2" xfId="320"/>
    <cellStyle name="Input 2 2 8 2 2" xfId="1224"/>
    <cellStyle name="Input 2 2 8 3" xfId="1223"/>
    <cellStyle name="Input 2 2 9" xfId="321"/>
    <cellStyle name="Input 2 2 9 2" xfId="1225"/>
    <cellStyle name="Input 2 3" xfId="322"/>
    <cellStyle name="Input 2 3 10" xfId="1226"/>
    <cellStyle name="Input 2 3 2" xfId="323"/>
    <cellStyle name="Input 2 3 2 2" xfId="324"/>
    <cellStyle name="Input 2 3 2 2 2" xfId="325"/>
    <cellStyle name="Input 2 3 2 2 2 2" xfId="326"/>
    <cellStyle name="Input 2 3 2 2 2 2 2" xfId="1230"/>
    <cellStyle name="Input 2 3 2 2 2 3" xfId="1229"/>
    <cellStyle name="Input 2 3 2 2 3" xfId="327"/>
    <cellStyle name="Input 2 3 2 2 3 2" xfId="328"/>
    <cellStyle name="Input 2 3 2 2 3 2 2" xfId="1232"/>
    <cellStyle name="Input 2 3 2 2 3 3" xfId="1231"/>
    <cellStyle name="Input 2 3 2 2 4" xfId="329"/>
    <cellStyle name="Input 2 3 2 2 4 2" xfId="1233"/>
    <cellStyle name="Input 2 3 2 2 5" xfId="1228"/>
    <cellStyle name="Input 2 3 2 3" xfId="330"/>
    <cellStyle name="Input 2 3 2 3 2" xfId="331"/>
    <cellStyle name="Input 2 3 2 3 2 2" xfId="332"/>
    <cellStyle name="Input 2 3 2 3 2 2 2" xfId="1236"/>
    <cellStyle name="Input 2 3 2 3 2 3" xfId="1235"/>
    <cellStyle name="Input 2 3 2 3 3" xfId="333"/>
    <cellStyle name="Input 2 3 2 3 3 2" xfId="334"/>
    <cellStyle name="Input 2 3 2 3 3 2 2" xfId="1238"/>
    <cellStyle name="Input 2 3 2 3 3 3" xfId="1237"/>
    <cellStyle name="Input 2 3 2 3 4" xfId="335"/>
    <cellStyle name="Input 2 3 2 3 4 2" xfId="1239"/>
    <cellStyle name="Input 2 3 2 3 5" xfId="1234"/>
    <cellStyle name="Input 2 3 2 4" xfId="336"/>
    <cellStyle name="Input 2 3 2 4 2" xfId="337"/>
    <cellStyle name="Input 2 3 2 4 2 2" xfId="1241"/>
    <cellStyle name="Input 2 3 2 4 3" xfId="1240"/>
    <cellStyle name="Input 2 3 2 5" xfId="338"/>
    <cellStyle name="Input 2 3 2 5 2" xfId="339"/>
    <cellStyle name="Input 2 3 2 5 2 2" xfId="1243"/>
    <cellStyle name="Input 2 3 2 5 3" xfId="1242"/>
    <cellStyle name="Input 2 3 2 6" xfId="340"/>
    <cellStyle name="Input 2 3 2 6 2" xfId="341"/>
    <cellStyle name="Input 2 3 2 6 2 2" xfId="1245"/>
    <cellStyle name="Input 2 3 2 6 3" xfId="1244"/>
    <cellStyle name="Input 2 3 2 7" xfId="342"/>
    <cellStyle name="Input 2 3 2 7 2" xfId="1246"/>
    <cellStyle name="Input 2 3 2 8" xfId="1227"/>
    <cellStyle name="Input 2 3 3" xfId="343"/>
    <cellStyle name="Input 2 3 3 2" xfId="344"/>
    <cellStyle name="Input 2 3 3 2 2" xfId="345"/>
    <cellStyle name="Input 2 3 3 2 2 2" xfId="346"/>
    <cellStyle name="Input 2 3 3 2 2 2 2" xfId="1250"/>
    <cellStyle name="Input 2 3 3 2 2 3" xfId="1249"/>
    <cellStyle name="Input 2 3 3 2 3" xfId="347"/>
    <cellStyle name="Input 2 3 3 2 3 2" xfId="348"/>
    <cellStyle name="Input 2 3 3 2 3 2 2" xfId="1252"/>
    <cellStyle name="Input 2 3 3 2 3 3" xfId="1251"/>
    <cellStyle name="Input 2 3 3 2 4" xfId="349"/>
    <cellStyle name="Input 2 3 3 2 4 2" xfId="1253"/>
    <cellStyle name="Input 2 3 3 2 5" xfId="1248"/>
    <cellStyle name="Input 2 3 3 3" xfId="350"/>
    <cellStyle name="Input 2 3 3 3 2" xfId="351"/>
    <cellStyle name="Input 2 3 3 3 2 2" xfId="352"/>
    <cellStyle name="Input 2 3 3 3 2 2 2" xfId="1256"/>
    <cellStyle name="Input 2 3 3 3 2 3" xfId="1255"/>
    <cellStyle name="Input 2 3 3 3 3" xfId="353"/>
    <cellStyle name="Input 2 3 3 3 3 2" xfId="354"/>
    <cellStyle name="Input 2 3 3 3 3 2 2" xfId="1258"/>
    <cellStyle name="Input 2 3 3 3 3 3" xfId="1257"/>
    <cellStyle name="Input 2 3 3 3 4" xfId="355"/>
    <cellStyle name="Input 2 3 3 3 4 2" xfId="1259"/>
    <cellStyle name="Input 2 3 3 3 5" xfId="1254"/>
    <cellStyle name="Input 2 3 3 4" xfId="356"/>
    <cellStyle name="Input 2 3 3 4 2" xfId="357"/>
    <cellStyle name="Input 2 3 3 4 2 2" xfId="1261"/>
    <cellStyle name="Input 2 3 3 4 3" xfId="1260"/>
    <cellStyle name="Input 2 3 3 5" xfId="358"/>
    <cellStyle name="Input 2 3 3 5 2" xfId="359"/>
    <cellStyle name="Input 2 3 3 5 2 2" xfId="1263"/>
    <cellStyle name="Input 2 3 3 5 3" xfId="1262"/>
    <cellStyle name="Input 2 3 3 6" xfId="360"/>
    <cellStyle name="Input 2 3 3 6 2" xfId="361"/>
    <cellStyle name="Input 2 3 3 6 2 2" xfId="1265"/>
    <cellStyle name="Input 2 3 3 6 3" xfId="1264"/>
    <cellStyle name="Input 2 3 3 7" xfId="362"/>
    <cellStyle name="Input 2 3 3 7 2" xfId="1266"/>
    <cellStyle name="Input 2 3 3 8" xfId="1247"/>
    <cellStyle name="Input 2 3 4" xfId="363"/>
    <cellStyle name="Input 2 3 4 2" xfId="364"/>
    <cellStyle name="Input 2 3 4 2 2" xfId="365"/>
    <cellStyle name="Input 2 3 4 2 2 2" xfId="1269"/>
    <cellStyle name="Input 2 3 4 2 3" xfId="1268"/>
    <cellStyle name="Input 2 3 4 3" xfId="366"/>
    <cellStyle name="Input 2 3 4 3 2" xfId="367"/>
    <cellStyle name="Input 2 3 4 3 2 2" xfId="1271"/>
    <cellStyle name="Input 2 3 4 3 3" xfId="1270"/>
    <cellStyle name="Input 2 3 4 4" xfId="368"/>
    <cellStyle name="Input 2 3 4 4 2" xfId="1272"/>
    <cellStyle name="Input 2 3 4 5" xfId="1267"/>
    <cellStyle name="Input 2 3 5" xfId="369"/>
    <cellStyle name="Input 2 3 5 2" xfId="370"/>
    <cellStyle name="Input 2 3 5 2 2" xfId="371"/>
    <cellStyle name="Input 2 3 5 2 2 2" xfId="1275"/>
    <cellStyle name="Input 2 3 5 2 3" xfId="1274"/>
    <cellStyle name="Input 2 3 5 3" xfId="372"/>
    <cellStyle name="Input 2 3 5 3 2" xfId="373"/>
    <cellStyle name="Input 2 3 5 3 2 2" xfId="1277"/>
    <cellStyle name="Input 2 3 5 3 3" xfId="1276"/>
    <cellStyle name="Input 2 3 5 4" xfId="374"/>
    <cellStyle name="Input 2 3 5 4 2" xfId="1278"/>
    <cellStyle name="Input 2 3 5 5" xfId="1273"/>
    <cellStyle name="Input 2 3 6" xfId="375"/>
    <cellStyle name="Input 2 3 6 2" xfId="376"/>
    <cellStyle name="Input 2 3 6 2 2" xfId="1280"/>
    <cellStyle name="Input 2 3 6 3" xfId="1279"/>
    <cellStyle name="Input 2 3 7" xfId="377"/>
    <cellStyle name="Input 2 3 7 2" xfId="378"/>
    <cellStyle name="Input 2 3 7 2 2" xfId="1282"/>
    <cellStyle name="Input 2 3 7 3" xfId="1281"/>
    <cellStyle name="Input 2 3 8" xfId="379"/>
    <cellStyle name="Input 2 3 8 2" xfId="380"/>
    <cellStyle name="Input 2 3 8 2 2" xfId="1284"/>
    <cellStyle name="Input 2 3 8 3" xfId="1283"/>
    <cellStyle name="Input 2 3 9" xfId="381"/>
    <cellStyle name="Input 2 3 9 2" xfId="1285"/>
    <cellStyle name="Input 2 4" xfId="382"/>
    <cellStyle name="Input 2 4 2" xfId="383"/>
    <cellStyle name="Input 2 4 2 2" xfId="384"/>
    <cellStyle name="Input 2 4 2 2 2" xfId="385"/>
    <cellStyle name="Input 2 4 2 2 2 2" xfId="1289"/>
    <cellStyle name="Input 2 4 2 2 3" xfId="1288"/>
    <cellStyle name="Input 2 4 2 3" xfId="386"/>
    <cellStyle name="Input 2 4 2 3 2" xfId="387"/>
    <cellStyle name="Input 2 4 2 3 2 2" xfId="1291"/>
    <cellStyle name="Input 2 4 2 3 3" xfId="1290"/>
    <cellStyle name="Input 2 4 2 4" xfId="388"/>
    <cellStyle name="Input 2 4 2 4 2" xfId="1292"/>
    <cellStyle name="Input 2 4 2 5" xfId="1287"/>
    <cellStyle name="Input 2 4 3" xfId="389"/>
    <cellStyle name="Input 2 4 3 2" xfId="390"/>
    <cellStyle name="Input 2 4 3 2 2" xfId="391"/>
    <cellStyle name="Input 2 4 3 2 2 2" xfId="1295"/>
    <cellStyle name="Input 2 4 3 2 3" xfId="1294"/>
    <cellStyle name="Input 2 4 3 3" xfId="392"/>
    <cellStyle name="Input 2 4 3 3 2" xfId="393"/>
    <cellStyle name="Input 2 4 3 3 2 2" xfId="1297"/>
    <cellStyle name="Input 2 4 3 3 3" xfId="1296"/>
    <cellStyle name="Input 2 4 3 4" xfId="394"/>
    <cellStyle name="Input 2 4 3 4 2" xfId="1298"/>
    <cellStyle name="Input 2 4 3 5" xfId="1293"/>
    <cellStyle name="Input 2 4 4" xfId="395"/>
    <cellStyle name="Input 2 4 4 2" xfId="396"/>
    <cellStyle name="Input 2 4 4 2 2" xfId="1300"/>
    <cellStyle name="Input 2 4 4 3" xfId="1299"/>
    <cellStyle name="Input 2 4 5" xfId="397"/>
    <cellStyle name="Input 2 4 5 2" xfId="398"/>
    <cellStyle name="Input 2 4 5 2 2" xfId="1302"/>
    <cellStyle name="Input 2 4 5 3" xfId="1301"/>
    <cellStyle name="Input 2 4 6" xfId="399"/>
    <cellStyle name="Input 2 4 6 2" xfId="400"/>
    <cellStyle name="Input 2 4 6 2 2" xfId="1304"/>
    <cellStyle name="Input 2 4 6 3" xfId="1303"/>
    <cellStyle name="Input 2 4 7" xfId="401"/>
    <cellStyle name="Input 2 4 7 2" xfId="1305"/>
    <cellStyle name="Input 2 4 8" xfId="1286"/>
    <cellStyle name="Input 2 5" xfId="402"/>
    <cellStyle name="Input 2 5 2" xfId="403"/>
    <cellStyle name="Input 2 5 2 2" xfId="404"/>
    <cellStyle name="Input 2 5 2 2 2" xfId="405"/>
    <cellStyle name="Input 2 5 2 2 2 2" xfId="1309"/>
    <cellStyle name="Input 2 5 2 2 3" xfId="1308"/>
    <cellStyle name="Input 2 5 2 3" xfId="406"/>
    <cellStyle name="Input 2 5 2 3 2" xfId="407"/>
    <cellStyle name="Input 2 5 2 3 2 2" xfId="1311"/>
    <cellStyle name="Input 2 5 2 3 3" xfId="1310"/>
    <cellStyle name="Input 2 5 2 4" xfId="408"/>
    <cellStyle name="Input 2 5 2 4 2" xfId="1312"/>
    <cellStyle name="Input 2 5 2 5" xfId="1307"/>
    <cellStyle name="Input 2 5 3" xfId="409"/>
    <cellStyle name="Input 2 5 3 2" xfId="410"/>
    <cellStyle name="Input 2 5 3 2 2" xfId="411"/>
    <cellStyle name="Input 2 5 3 2 2 2" xfId="1315"/>
    <cellStyle name="Input 2 5 3 2 3" xfId="1314"/>
    <cellStyle name="Input 2 5 3 3" xfId="412"/>
    <cellStyle name="Input 2 5 3 3 2" xfId="413"/>
    <cellStyle name="Input 2 5 3 3 2 2" xfId="1317"/>
    <cellStyle name="Input 2 5 3 3 3" xfId="1316"/>
    <cellStyle name="Input 2 5 3 4" xfId="414"/>
    <cellStyle name="Input 2 5 3 4 2" xfId="1318"/>
    <cellStyle name="Input 2 5 3 5" xfId="1313"/>
    <cellStyle name="Input 2 5 4" xfId="415"/>
    <cellStyle name="Input 2 5 4 2" xfId="416"/>
    <cellStyle name="Input 2 5 4 2 2" xfId="1320"/>
    <cellStyle name="Input 2 5 4 3" xfId="1319"/>
    <cellStyle name="Input 2 5 5" xfId="417"/>
    <cellStyle name="Input 2 5 5 2" xfId="418"/>
    <cellStyle name="Input 2 5 5 2 2" xfId="1322"/>
    <cellStyle name="Input 2 5 5 3" xfId="1321"/>
    <cellStyle name="Input 2 5 6" xfId="419"/>
    <cellStyle name="Input 2 5 6 2" xfId="420"/>
    <cellStyle name="Input 2 5 6 2 2" xfId="1324"/>
    <cellStyle name="Input 2 5 6 3" xfId="1323"/>
    <cellStyle name="Input 2 5 7" xfId="421"/>
    <cellStyle name="Input 2 5 7 2" xfId="1325"/>
    <cellStyle name="Input 2 5 8" xfId="1306"/>
    <cellStyle name="Input 2 6" xfId="422"/>
    <cellStyle name="Input 2 6 2" xfId="423"/>
    <cellStyle name="Input 2 6 2 2" xfId="424"/>
    <cellStyle name="Input 2 6 2 2 2" xfId="1328"/>
    <cellStyle name="Input 2 6 2 3" xfId="1327"/>
    <cellStyle name="Input 2 6 3" xfId="425"/>
    <cellStyle name="Input 2 6 3 2" xfId="426"/>
    <cellStyle name="Input 2 6 3 2 2" xfId="1330"/>
    <cellStyle name="Input 2 6 3 3" xfId="1329"/>
    <cellStyle name="Input 2 6 4" xfId="427"/>
    <cellStyle name="Input 2 6 4 2" xfId="1331"/>
    <cellStyle name="Input 2 6 5" xfId="1326"/>
    <cellStyle name="Input 2 7" xfId="428"/>
    <cellStyle name="Input 2 7 2" xfId="429"/>
    <cellStyle name="Input 2 7 2 2" xfId="430"/>
    <cellStyle name="Input 2 7 2 2 2" xfId="1334"/>
    <cellStyle name="Input 2 7 2 3" xfId="1333"/>
    <cellStyle name="Input 2 7 3" xfId="431"/>
    <cellStyle name="Input 2 7 3 2" xfId="432"/>
    <cellStyle name="Input 2 7 3 2 2" xfId="1336"/>
    <cellStyle name="Input 2 7 3 3" xfId="1335"/>
    <cellStyle name="Input 2 7 4" xfId="433"/>
    <cellStyle name="Input 2 7 4 2" xfId="1337"/>
    <cellStyle name="Input 2 7 5" xfId="1332"/>
    <cellStyle name="Input 2 8" xfId="434"/>
    <cellStyle name="Input 2 8 2" xfId="435"/>
    <cellStyle name="Input 2 8 2 2" xfId="1339"/>
    <cellStyle name="Input 2 8 3" xfId="1338"/>
    <cellStyle name="Input 2 9" xfId="436"/>
    <cellStyle name="Input 2 9 2" xfId="437"/>
    <cellStyle name="Input 2 9 2 2" xfId="1341"/>
    <cellStyle name="Input 2 9 3" xfId="1340"/>
    <cellStyle name="Linked Cell" xfId="12" builtinId="24" customBuiltin="1"/>
    <cellStyle name="Linked Cell 2" xfId="438"/>
    <cellStyle name="Neutral" xfId="8" builtinId="28" customBuiltin="1"/>
    <cellStyle name="Neutral 2" xfId="439"/>
    <cellStyle name="Normal" xfId="0" builtinId="0"/>
    <cellStyle name="Normal 2" xfId="44"/>
    <cellStyle name="Normal 2 2" xfId="49"/>
    <cellStyle name="Normal 2 3" xfId="440"/>
    <cellStyle name="Normal 2 4" xfId="441"/>
    <cellStyle name="Normal 2 5" xfId="442"/>
    <cellStyle name="Normal 3" xfId="46"/>
    <cellStyle name="Normal 3 2" xfId="48"/>
    <cellStyle name="Normal 3 3" xfId="443"/>
    <cellStyle name="Normal 3 4" xfId="444"/>
    <cellStyle name="Normal 3 5" xfId="445"/>
    <cellStyle name="Normal 3 6" xfId="446"/>
    <cellStyle name="Normal 4" xfId="42"/>
    <cellStyle name="Normal 4 2" xfId="447"/>
    <cellStyle name="Normal 4 3" xfId="448"/>
    <cellStyle name="Normal 4 4" xfId="449"/>
    <cellStyle name="Normal 6" xfId="47"/>
    <cellStyle name="Note" xfId="15" builtinId="10" customBuiltin="1"/>
    <cellStyle name="Note 2" xfId="450"/>
    <cellStyle name="Note 2 10" xfId="451"/>
    <cellStyle name="Note 2 10 2" xfId="1343"/>
    <cellStyle name="Note 2 11" xfId="1342"/>
    <cellStyle name="Note 2 2" xfId="452"/>
    <cellStyle name="Note 2 2 10" xfId="1344"/>
    <cellStyle name="Note 2 2 2" xfId="453"/>
    <cellStyle name="Note 2 2 2 2" xfId="454"/>
    <cellStyle name="Note 2 2 2 2 2" xfId="455"/>
    <cellStyle name="Note 2 2 2 2 2 2" xfId="456"/>
    <cellStyle name="Note 2 2 2 2 2 2 2" xfId="1348"/>
    <cellStyle name="Note 2 2 2 2 2 3" xfId="1347"/>
    <cellStyle name="Note 2 2 2 2 3" xfId="457"/>
    <cellStyle name="Note 2 2 2 2 3 2" xfId="458"/>
    <cellStyle name="Note 2 2 2 2 3 2 2" xfId="1350"/>
    <cellStyle name="Note 2 2 2 2 3 3" xfId="1349"/>
    <cellStyle name="Note 2 2 2 2 4" xfId="459"/>
    <cellStyle name="Note 2 2 2 2 4 2" xfId="1351"/>
    <cellStyle name="Note 2 2 2 2 5" xfId="1346"/>
    <cellStyle name="Note 2 2 2 3" xfId="460"/>
    <cellStyle name="Note 2 2 2 3 2" xfId="461"/>
    <cellStyle name="Note 2 2 2 3 2 2" xfId="462"/>
    <cellStyle name="Note 2 2 2 3 2 2 2" xfId="1354"/>
    <cellStyle name="Note 2 2 2 3 2 3" xfId="1353"/>
    <cellStyle name="Note 2 2 2 3 3" xfId="463"/>
    <cellStyle name="Note 2 2 2 3 3 2" xfId="464"/>
    <cellStyle name="Note 2 2 2 3 3 2 2" xfId="1356"/>
    <cellStyle name="Note 2 2 2 3 3 3" xfId="1355"/>
    <cellStyle name="Note 2 2 2 3 4" xfId="465"/>
    <cellStyle name="Note 2 2 2 3 4 2" xfId="1357"/>
    <cellStyle name="Note 2 2 2 3 5" xfId="1352"/>
    <cellStyle name="Note 2 2 2 4" xfId="466"/>
    <cellStyle name="Note 2 2 2 4 2" xfId="467"/>
    <cellStyle name="Note 2 2 2 4 2 2" xfId="1359"/>
    <cellStyle name="Note 2 2 2 4 3" xfId="1358"/>
    <cellStyle name="Note 2 2 2 5" xfId="468"/>
    <cellStyle name="Note 2 2 2 5 2" xfId="469"/>
    <cellStyle name="Note 2 2 2 5 2 2" xfId="1361"/>
    <cellStyle name="Note 2 2 2 5 3" xfId="1360"/>
    <cellStyle name="Note 2 2 2 6" xfId="470"/>
    <cellStyle name="Note 2 2 2 6 2" xfId="471"/>
    <cellStyle name="Note 2 2 2 6 2 2" xfId="1363"/>
    <cellStyle name="Note 2 2 2 6 3" xfId="1362"/>
    <cellStyle name="Note 2 2 2 7" xfId="472"/>
    <cellStyle name="Note 2 2 2 7 2" xfId="1364"/>
    <cellStyle name="Note 2 2 2 8" xfId="1345"/>
    <cellStyle name="Note 2 2 3" xfId="473"/>
    <cellStyle name="Note 2 2 3 2" xfId="474"/>
    <cellStyle name="Note 2 2 3 2 2" xfId="475"/>
    <cellStyle name="Note 2 2 3 2 2 2" xfId="476"/>
    <cellStyle name="Note 2 2 3 2 2 2 2" xfId="1368"/>
    <cellStyle name="Note 2 2 3 2 2 3" xfId="1367"/>
    <cellStyle name="Note 2 2 3 2 3" xfId="477"/>
    <cellStyle name="Note 2 2 3 2 3 2" xfId="478"/>
    <cellStyle name="Note 2 2 3 2 3 2 2" xfId="1370"/>
    <cellStyle name="Note 2 2 3 2 3 3" xfId="1369"/>
    <cellStyle name="Note 2 2 3 2 4" xfId="479"/>
    <cellStyle name="Note 2 2 3 2 4 2" xfId="1371"/>
    <cellStyle name="Note 2 2 3 2 5" xfId="1366"/>
    <cellStyle name="Note 2 2 3 3" xfId="480"/>
    <cellStyle name="Note 2 2 3 3 2" xfId="481"/>
    <cellStyle name="Note 2 2 3 3 2 2" xfId="482"/>
    <cellStyle name="Note 2 2 3 3 2 2 2" xfId="1374"/>
    <cellStyle name="Note 2 2 3 3 2 3" xfId="1373"/>
    <cellStyle name="Note 2 2 3 3 3" xfId="483"/>
    <cellStyle name="Note 2 2 3 3 3 2" xfId="484"/>
    <cellStyle name="Note 2 2 3 3 3 2 2" xfId="1376"/>
    <cellStyle name="Note 2 2 3 3 3 3" xfId="1375"/>
    <cellStyle name="Note 2 2 3 3 4" xfId="485"/>
    <cellStyle name="Note 2 2 3 3 4 2" xfId="1377"/>
    <cellStyle name="Note 2 2 3 3 5" xfId="1372"/>
    <cellStyle name="Note 2 2 3 4" xfId="486"/>
    <cellStyle name="Note 2 2 3 4 2" xfId="487"/>
    <cellStyle name="Note 2 2 3 4 2 2" xfId="1379"/>
    <cellStyle name="Note 2 2 3 4 3" xfId="1378"/>
    <cellStyle name="Note 2 2 3 5" xfId="488"/>
    <cellStyle name="Note 2 2 3 5 2" xfId="489"/>
    <cellStyle name="Note 2 2 3 5 2 2" xfId="1381"/>
    <cellStyle name="Note 2 2 3 5 3" xfId="1380"/>
    <cellStyle name="Note 2 2 3 6" xfId="490"/>
    <cellStyle name="Note 2 2 3 6 2" xfId="491"/>
    <cellStyle name="Note 2 2 3 6 2 2" xfId="1383"/>
    <cellStyle name="Note 2 2 3 6 3" xfId="1382"/>
    <cellStyle name="Note 2 2 3 7" xfId="492"/>
    <cellStyle name="Note 2 2 3 7 2" xfId="1384"/>
    <cellStyle name="Note 2 2 3 8" xfId="1365"/>
    <cellStyle name="Note 2 2 4" xfId="493"/>
    <cellStyle name="Note 2 2 4 2" xfId="494"/>
    <cellStyle name="Note 2 2 4 2 2" xfId="495"/>
    <cellStyle name="Note 2 2 4 2 2 2" xfId="1387"/>
    <cellStyle name="Note 2 2 4 2 3" xfId="1386"/>
    <cellStyle name="Note 2 2 4 3" xfId="496"/>
    <cellStyle name="Note 2 2 4 3 2" xfId="497"/>
    <cellStyle name="Note 2 2 4 3 2 2" xfId="1389"/>
    <cellStyle name="Note 2 2 4 3 3" xfId="1388"/>
    <cellStyle name="Note 2 2 4 4" xfId="498"/>
    <cellStyle name="Note 2 2 4 4 2" xfId="1390"/>
    <cellStyle name="Note 2 2 4 5" xfId="1385"/>
    <cellStyle name="Note 2 2 5" xfId="499"/>
    <cellStyle name="Note 2 2 5 2" xfId="500"/>
    <cellStyle name="Note 2 2 5 2 2" xfId="501"/>
    <cellStyle name="Note 2 2 5 2 2 2" xfId="1393"/>
    <cellStyle name="Note 2 2 5 2 3" xfId="1392"/>
    <cellStyle name="Note 2 2 5 3" xfId="502"/>
    <cellStyle name="Note 2 2 5 3 2" xfId="503"/>
    <cellStyle name="Note 2 2 5 3 2 2" xfId="1395"/>
    <cellStyle name="Note 2 2 5 3 3" xfId="1394"/>
    <cellStyle name="Note 2 2 5 4" xfId="504"/>
    <cellStyle name="Note 2 2 5 4 2" xfId="1396"/>
    <cellStyle name="Note 2 2 5 5" xfId="1391"/>
    <cellStyle name="Note 2 2 6" xfId="505"/>
    <cellStyle name="Note 2 2 6 2" xfId="506"/>
    <cellStyle name="Note 2 2 6 2 2" xfId="1398"/>
    <cellStyle name="Note 2 2 6 3" xfId="1397"/>
    <cellStyle name="Note 2 2 7" xfId="507"/>
    <cellStyle name="Note 2 2 7 2" xfId="508"/>
    <cellStyle name="Note 2 2 7 2 2" xfId="1400"/>
    <cellStyle name="Note 2 2 7 3" xfId="1399"/>
    <cellStyle name="Note 2 2 8" xfId="509"/>
    <cellStyle name="Note 2 2 8 2" xfId="510"/>
    <cellStyle name="Note 2 2 8 2 2" xfId="1402"/>
    <cellStyle name="Note 2 2 8 3" xfId="1401"/>
    <cellStyle name="Note 2 2 9" xfId="511"/>
    <cellStyle name="Note 2 2 9 2" xfId="1403"/>
    <cellStyle name="Note 2 3" xfId="512"/>
    <cellStyle name="Note 2 3 10" xfId="1404"/>
    <cellStyle name="Note 2 3 2" xfId="513"/>
    <cellStyle name="Note 2 3 2 2" xfId="514"/>
    <cellStyle name="Note 2 3 2 2 2" xfId="515"/>
    <cellStyle name="Note 2 3 2 2 2 2" xfId="516"/>
    <cellStyle name="Note 2 3 2 2 2 2 2" xfId="1408"/>
    <cellStyle name="Note 2 3 2 2 2 3" xfId="1407"/>
    <cellStyle name="Note 2 3 2 2 3" xfId="517"/>
    <cellStyle name="Note 2 3 2 2 3 2" xfId="518"/>
    <cellStyle name="Note 2 3 2 2 3 2 2" xfId="1410"/>
    <cellStyle name="Note 2 3 2 2 3 3" xfId="1409"/>
    <cellStyle name="Note 2 3 2 2 4" xfId="519"/>
    <cellStyle name="Note 2 3 2 2 4 2" xfId="1411"/>
    <cellStyle name="Note 2 3 2 2 5" xfId="1406"/>
    <cellStyle name="Note 2 3 2 3" xfId="520"/>
    <cellStyle name="Note 2 3 2 3 2" xfId="521"/>
    <cellStyle name="Note 2 3 2 3 2 2" xfId="522"/>
    <cellStyle name="Note 2 3 2 3 2 2 2" xfId="1414"/>
    <cellStyle name="Note 2 3 2 3 2 3" xfId="1413"/>
    <cellStyle name="Note 2 3 2 3 3" xfId="523"/>
    <cellStyle name="Note 2 3 2 3 3 2" xfId="524"/>
    <cellStyle name="Note 2 3 2 3 3 2 2" xfId="1416"/>
    <cellStyle name="Note 2 3 2 3 3 3" xfId="1415"/>
    <cellStyle name="Note 2 3 2 3 4" xfId="525"/>
    <cellStyle name="Note 2 3 2 3 4 2" xfId="1417"/>
    <cellStyle name="Note 2 3 2 3 5" xfId="1412"/>
    <cellStyle name="Note 2 3 2 4" xfId="526"/>
    <cellStyle name="Note 2 3 2 4 2" xfId="527"/>
    <cellStyle name="Note 2 3 2 4 2 2" xfId="1419"/>
    <cellStyle name="Note 2 3 2 4 3" xfId="1418"/>
    <cellStyle name="Note 2 3 2 5" xfId="528"/>
    <cellStyle name="Note 2 3 2 5 2" xfId="529"/>
    <cellStyle name="Note 2 3 2 5 2 2" xfId="1421"/>
    <cellStyle name="Note 2 3 2 5 3" xfId="1420"/>
    <cellStyle name="Note 2 3 2 6" xfId="530"/>
    <cellStyle name="Note 2 3 2 6 2" xfId="531"/>
    <cellStyle name="Note 2 3 2 6 2 2" xfId="1423"/>
    <cellStyle name="Note 2 3 2 6 3" xfId="1422"/>
    <cellStyle name="Note 2 3 2 7" xfId="532"/>
    <cellStyle name="Note 2 3 2 7 2" xfId="1424"/>
    <cellStyle name="Note 2 3 2 8" xfId="1405"/>
    <cellStyle name="Note 2 3 3" xfId="533"/>
    <cellStyle name="Note 2 3 3 2" xfId="534"/>
    <cellStyle name="Note 2 3 3 2 2" xfId="535"/>
    <cellStyle name="Note 2 3 3 2 2 2" xfId="536"/>
    <cellStyle name="Note 2 3 3 2 2 2 2" xfId="1428"/>
    <cellStyle name="Note 2 3 3 2 2 3" xfId="1427"/>
    <cellStyle name="Note 2 3 3 2 3" xfId="537"/>
    <cellStyle name="Note 2 3 3 2 3 2" xfId="538"/>
    <cellStyle name="Note 2 3 3 2 3 2 2" xfId="1430"/>
    <cellStyle name="Note 2 3 3 2 3 3" xfId="1429"/>
    <cellStyle name="Note 2 3 3 2 4" xfId="539"/>
    <cellStyle name="Note 2 3 3 2 4 2" xfId="1431"/>
    <cellStyle name="Note 2 3 3 2 5" xfId="1426"/>
    <cellStyle name="Note 2 3 3 3" xfId="540"/>
    <cellStyle name="Note 2 3 3 3 2" xfId="541"/>
    <cellStyle name="Note 2 3 3 3 2 2" xfId="542"/>
    <cellStyle name="Note 2 3 3 3 2 2 2" xfId="1434"/>
    <cellStyle name="Note 2 3 3 3 2 3" xfId="1433"/>
    <cellStyle name="Note 2 3 3 3 3" xfId="543"/>
    <cellStyle name="Note 2 3 3 3 3 2" xfId="544"/>
    <cellStyle name="Note 2 3 3 3 3 2 2" xfId="1436"/>
    <cellStyle name="Note 2 3 3 3 3 3" xfId="1435"/>
    <cellStyle name="Note 2 3 3 3 4" xfId="545"/>
    <cellStyle name="Note 2 3 3 3 4 2" xfId="1437"/>
    <cellStyle name="Note 2 3 3 3 5" xfId="1432"/>
    <cellStyle name="Note 2 3 3 4" xfId="546"/>
    <cellStyle name="Note 2 3 3 4 2" xfId="547"/>
    <cellStyle name="Note 2 3 3 4 2 2" xfId="1439"/>
    <cellStyle name="Note 2 3 3 4 3" xfId="1438"/>
    <cellStyle name="Note 2 3 3 5" xfId="548"/>
    <cellStyle name="Note 2 3 3 5 2" xfId="549"/>
    <cellStyle name="Note 2 3 3 5 2 2" xfId="1441"/>
    <cellStyle name="Note 2 3 3 5 3" xfId="1440"/>
    <cellStyle name="Note 2 3 3 6" xfId="550"/>
    <cellStyle name="Note 2 3 3 6 2" xfId="551"/>
    <cellStyle name="Note 2 3 3 6 2 2" xfId="1443"/>
    <cellStyle name="Note 2 3 3 6 3" xfId="1442"/>
    <cellStyle name="Note 2 3 3 7" xfId="552"/>
    <cellStyle name="Note 2 3 3 7 2" xfId="1444"/>
    <cellStyle name="Note 2 3 3 8" xfId="1425"/>
    <cellStyle name="Note 2 3 4" xfId="553"/>
    <cellStyle name="Note 2 3 4 2" xfId="554"/>
    <cellStyle name="Note 2 3 4 2 2" xfId="555"/>
    <cellStyle name="Note 2 3 4 2 2 2" xfId="1447"/>
    <cellStyle name="Note 2 3 4 2 3" xfId="1446"/>
    <cellStyle name="Note 2 3 4 3" xfId="556"/>
    <cellStyle name="Note 2 3 4 3 2" xfId="557"/>
    <cellStyle name="Note 2 3 4 3 2 2" xfId="1449"/>
    <cellStyle name="Note 2 3 4 3 3" xfId="1448"/>
    <cellStyle name="Note 2 3 4 4" xfId="558"/>
    <cellStyle name="Note 2 3 4 4 2" xfId="1450"/>
    <cellStyle name="Note 2 3 4 5" xfId="1445"/>
    <cellStyle name="Note 2 3 5" xfId="559"/>
    <cellStyle name="Note 2 3 5 2" xfId="560"/>
    <cellStyle name="Note 2 3 5 2 2" xfId="561"/>
    <cellStyle name="Note 2 3 5 2 2 2" xfId="1453"/>
    <cellStyle name="Note 2 3 5 2 3" xfId="1452"/>
    <cellStyle name="Note 2 3 5 3" xfId="562"/>
    <cellStyle name="Note 2 3 5 3 2" xfId="563"/>
    <cellStyle name="Note 2 3 5 3 2 2" xfId="1455"/>
    <cellStyle name="Note 2 3 5 3 3" xfId="1454"/>
    <cellStyle name="Note 2 3 5 4" xfId="564"/>
    <cellStyle name="Note 2 3 5 4 2" xfId="1456"/>
    <cellStyle name="Note 2 3 5 5" xfId="1451"/>
    <cellStyle name="Note 2 3 6" xfId="565"/>
    <cellStyle name="Note 2 3 6 2" xfId="566"/>
    <cellStyle name="Note 2 3 6 2 2" xfId="1458"/>
    <cellStyle name="Note 2 3 6 3" xfId="1457"/>
    <cellStyle name="Note 2 3 7" xfId="567"/>
    <cellStyle name="Note 2 3 7 2" xfId="568"/>
    <cellStyle name="Note 2 3 7 2 2" xfId="1460"/>
    <cellStyle name="Note 2 3 7 3" xfId="1459"/>
    <cellStyle name="Note 2 3 8" xfId="569"/>
    <cellStyle name="Note 2 3 8 2" xfId="570"/>
    <cellStyle name="Note 2 3 8 2 2" xfId="1462"/>
    <cellStyle name="Note 2 3 8 3" xfId="1461"/>
    <cellStyle name="Note 2 3 9" xfId="571"/>
    <cellStyle name="Note 2 3 9 2" xfId="1463"/>
    <cellStyle name="Note 2 4" xfId="572"/>
    <cellStyle name="Note 2 4 2" xfId="573"/>
    <cellStyle name="Note 2 4 2 2" xfId="574"/>
    <cellStyle name="Note 2 4 2 2 2" xfId="575"/>
    <cellStyle name="Note 2 4 2 2 2 2" xfId="1467"/>
    <cellStyle name="Note 2 4 2 2 3" xfId="1466"/>
    <cellStyle name="Note 2 4 2 3" xfId="576"/>
    <cellStyle name="Note 2 4 2 3 2" xfId="577"/>
    <cellStyle name="Note 2 4 2 3 2 2" xfId="1469"/>
    <cellStyle name="Note 2 4 2 3 3" xfId="1468"/>
    <cellStyle name="Note 2 4 2 4" xfId="578"/>
    <cellStyle name="Note 2 4 2 4 2" xfId="1470"/>
    <cellStyle name="Note 2 4 2 5" xfId="1465"/>
    <cellStyle name="Note 2 4 3" xfId="579"/>
    <cellStyle name="Note 2 4 3 2" xfId="580"/>
    <cellStyle name="Note 2 4 3 2 2" xfId="581"/>
    <cellStyle name="Note 2 4 3 2 2 2" xfId="1473"/>
    <cellStyle name="Note 2 4 3 2 3" xfId="1472"/>
    <cellStyle name="Note 2 4 3 3" xfId="582"/>
    <cellStyle name="Note 2 4 3 3 2" xfId="583"/>
    <cellStyle name="Note 2 4 3 3 2 2" xfId="1475"/>
    <cellStyle name="Note 2 4 3 3 3" xfId="1474"/>
    <cellStyle name="Note 2 4 3 4" xfId="584"/>
    <cellStyle name="Note 2 4 3 4 2" xfId="1476"/>
    <cellStyle name="Note 2 4 3 5" xfId="1471"/>
    <cellStyle name="Note 2 4 4" xfId="585"/>
    <cellStyle name="Note 2 4 4 2" xfId="586"/>
    <cellStyle name="Note 2 4 4 2 2" xfId="1478"/>
    <cellStyle name="Note 2 4 4 3" xfId="1477"/>
    <cellStyle name="Note 2 4 5" xfId="587"/>
    <cellStyle name="Note 2 4 5 2" xfId="588"/>
    <cellStyle name="Note 2 4 5 2 2" xfId="1480"/>
    <cellStyle name="Note 2 4 5 3" xfId="1479"/>
    <cellStyle name="Note 2 4 6" xfId="589"/>
    <cellStyle name="Note 2 4 6 2" xfId="590"/>
    <cellStyle name="Note 2 4 6 2 2" xfId="1482"/>
    <cellStyle name="Note 2 4 6 3" xfId="1481"/>
    <cellStyle name="Note 2 4 7" xfId="591"/>
    <cellStyle name="Note 2 4 7 2" xfId="1483"/>
    <cellStyle name="Note 2 4 8" xfId="1464"/>
    <cellStyle name="Note 2 5" xfId="592"/>
    <cellStyle name="Note 2 5 2" xfId="593"/>
    <cellStyle name="Note 2 5 2 2" xfId="594"/>
    <cellStyle name="Note 2 5 2 2 2" xfId="595"/>
    <cellStyle name="Note 2 5 2 2 2 2" xfId="1487"/>
    <cellStyle name="Note 2 5 2 2 3" xfId="1486"/>
    <cellStyle name="Note 2 5 2 3" xfId="596"/>
    <cellStyle name="Note 2 5 2 3 2" xfId="597"/>
    <cellStyle name="Note 2 5 2 3 2 2" xfId="1489"/>
    <cellStyle name="Note 2 5 2 3 3" xfId="1488"/>
    <cellStyle name="Note 2 5 2 4" xfId="598"/>
    <cellStyle name="Note 2 5 2 4 2" xfId="1490"/>
    <cellStyle name="Note 2 5 2 5" xfId="1485"/>
    <cellStyle name="Note 2 5 3" xfId="599"/>
    <cellStyle name="Note 2 5 3 2" xfId="600"/>
    <cellStyle name="Note 2 5 3 2 2" xfId="601"/>
    <cellStyle name="Note 2 5 3 2 2 2" xfId="1493"/>
    <cellStyle name="Note 2 5 3 2 3" xfId="1492"/>
    <cellStyle name="Note 2 5 3 3" xfId="602"/>
    <cellStyle name="Note 2 5 3 3 2" xfId="603"/>
    <cellStyle name="Note 2 5 3 3 2 2" xfId="1495"/>
    <cellStyle name="Note 2 5 3 3 3" xfId="1494"/>
    <cellStyle name="Note 2 5 3 4" xfId="604"/>
    <cellStyle name="Note 2 5 3 4 2" xfId="1496"/>
    <cellStyle name="Note 2 5 3 5" xfId="1491"/>
    <cellStyle name="Note 2 5 4" xfId="605"/>
    <cellStyle name="Note 2 5 4 2" xfId="606"/>
    <cellStyle name="Note 2 5 4 2 2" xfId="1498"/>
    <cellStyle name="Note 2 5 4 3" xfId="1497"/>
    <cellStyle name="Note 2 5 5" xfId="607"/>
    <cellStyle name="Note 2 5 5 2" xfId="608"/>
    <cellStyle name="Note 2 5 5 2 2" xfId="1500"/>
    <cellStyle name="Note 2 5 5 3" xfId="1499"/>
    <cellStyle name="Note 2 5 6" xfId="609"/>
    <cellStyle name="Note 2 5 6 2" xfId="610"/>
    <cellStyle name="Note 2 5 6 2 2" xfId="1502"/>
    <cellStyle name="Note 2 5 6 3" xfId="1501"/>
    <cellStyle name="Note 2 5 7" xfId="611"/>
    <cellStyle name="Note 2 5 7 2" xfId="1503"/>
    <cellStyle name="Note 2 5 8" xfId="1484"/>
    <cellStyle name="Note 2 6" xfId="612"/>
    <cellStyle name="Note 2 6 2" xfId="613"/>
    <cellStyle name="Note 2 6 2 2" xfId="614"/>
    <cellStyle name="Note 2 6 2 2 2" xfId="1506"/>
    <cellStyle name="Note 2 6 2 3" xfId="1505"/>
    <cellStyle name="Note 2 6 3" xfId="615"/>
    <cellStyle name="Note 2 6 3 2" xfId="616"/>
    <cellStyle name="Note 2 6 3 2 2" xfId="1508"/>
    <cellStyle name="Note 2 6 3 3" xfId="1507"/>
    <cellStyle name="Note 2 6 4" xfId="617"/>
    <cellStyle name="Note 2 6 4 2" xfId="1509"/>
    <cellStyle name="Note 2 6 5" xfId="1504"/>
    <cellStyle name="Note 2 7" xfId="618"/>
    <cellStyle name="Note 2 7 2" xfId="619"/>
    <cellStyle name="Note 2 7 2 2" xfId="620"/>
    <cellStyle name="Note 2 7 2 2 2" xfId="1512"/>
    <cellStyle name="Note 2 7 2 3" xfId="1511"/>
    <cellStyle name="Note 2 7 3" xfId="621"/>
    <cellStyle name="Note 2 7 3 2" xfId="622"/>
    <cellStyle name="Note 2 7 3 2 2" xfId="1514"/>
    <cellStyle name="Note 2 7 3 3" xfId="1513"/>
    <cellStyle name="Note 2 7 4" xfId="623"/>
    <cellStyle name="Note 2 7 4 2" xfId="1515"/>
    <cellStyle name="Note 2 7 5" xfId="1510"/>
    <cellStyle name="Note 2 8" xfId="624"/>
    <cellStyle name="Note 2 8 2" xfId="625"/>
    <cellStyle name="Note 2 8 2 2" xfId="1517"/>
    <cellStyle name="Note 2 8 3" xfId="1516"/>
    <cellStyle name="Note 2 9" xfId="626"/>
    <cellStyle name="Note 2 9 2" xfId="627"/>
    <cellStyle name="Note 2 9 2 2" xfId="1519"/>
    <cellStyle name="Note 2 9 3" xfId="1518"/>
    <cellStyle name="Output" xfId="10" builtinId="21" customBuiltin="1"/>
    <cellStyle name="Output 2" xfId="628"/>
    <cellStyle name="Output 2 10" xfId="629"/>
    <cellStyle name="Output 2 10 2" xfId="1521"/>
    <cellStyle name="Output 2 11" xfId="1520"/>
    <cellStyle name="Output 2 2" xfId="630"/>
    <cellStyle name="Output 2 2 10" xfId="1522"/>
    <cellStyle name="Output 2 2 2" xfId="631"/>
    <cellStyle name="Output 2 2 2 2" xfId="632"/>
    <cellStyle name="Output 2 2 2 2 2" xfId="633"/>
    <cellStyle name="Output 2 2 2 2 2 2" xfId="634"/>
    <cellStyle name="Output 2 2 2 2 2 2 2" xfId="1526"/>
    <cellStyle name="Output 2 2 2 2 2 3" xfId="1525"/>
    <cellStyle name="Output 2 2 2 2 3" xfId="635"/>
    <cellStyle name="Output 2 2 2 2 3 2" xfId="636"/>
    <cellStyle name="Output 2 2 2 2 3 2 2" xfId="1528"/>
    <cellStyle name="Output 2 2 2 2 3 3" xfId="1527"/>
    <cellStyle name="Output 2 2 2 2 4" xfId="637"/>
    <cellStyle name="Output 2 2 2 2 4 2" xfId="1529"/>
    <cellStyle name="Output 2 2 2 2 5" xfId="1524"/>
    <cellStyle name="Output 2 2 2 3" xfId="638"/>
    <cellStyle name="Output 2 2 2 3 2" xfId="639"/>
    <cellStyle name="Output 2 2 2 3 2 2" xfId="640"/>
    <cellStyle name="Output 2 2 2 3 2 2 2" xfId="1532"/>
    <cellStyle name="Output 2 2 2 3 2 3" xfId="1531"/>
    <cellStyle name="Output 2 2 2 3 3" xfId="641"/>
    <cellStyle name="Output 2 2 2 3 3 2" xfId="642"/>
    <cellStyle name="Output 2 2 2 3 3 2 2" xfId="1534"/>
    <cellStyle name="Output 2 2 2 3 3 3" xfId="1533"/>
    <cellStyle name="Output 2 2 2 3 4" xfId="643"/>
    <cellStyle name="Output 2 2 2 3 4 2" xfId="1535"/>
    <cellStyle name="Output 2 2 2 3 5" xfId="1530"/>
    <cellStyle name="Output 2 2 2 4" xfId="644"/>
    <cellStyle name="Output 2 2 2 4 2" xfId="645"/>
    <cellStyle name="Output 2 2 2 4 2 2" xfId="1537"/>
    <cellStyle name="Output 2 2 2 4 3" xfId="1536"/>
    <cellStyle name="Output 2 2 2 5" xfId="646"/>
    <cellStyle name="Output 2 2 2 5 2" xfId="647"/>
    <cellStyle name="Output 2 2 2 5 2 2" xfId="1539"/>
    <cellStyle name="Output 2 2 2 5 3" xfId="1538"/>
    <cellStyle name="Output 2 2 2 6" xfId="648"/>
    <cellStyle name="Output 2 2 2 6 2" xfId="649"/>
    <cellStyle name="Output 2 2 2 6 2 2" xfId="1541"/>
    <cellStyle name="Output 2 2 2 6 3" xfId="1540"/>
    <cellStyle name="Output 2 2 2 7" xfId="650"/>
    <cellStyle name="Output 2 2 2 7 2" xfId="1542"/>
    <cellStyle name="Output 2 2 2 8" xfId="1523"/>
    <cellStyle name="Output 2 2 3" xfId="651"/>
    <cellStyle name="Output 2 2 3 2" xfId="652"/>
    <cellStyle name="Output 2 2 3 2 2" xfId="653"/>
    <cellStyle name="Output 2 2 3 2 2 2" xfId="654"/>
    <cellStyle name="Output 2 2 3 2 2 2 2" xfId="1546"/>
    <cellStyle name="Output 2 2 3 2 2 3" xfId="1545"/>
    <cellStyle name="Output 2 2 3 2 3" xfId="655"/>
    <cellStyle name="Output 2 2 3 2 3 2" xfId="656"/>
    <cellStyle name="Output 2 2 3 2 3 2 2" xfId="1548"/>
    <cellStyle name="Output 2 2 3 2 3 3" xfId="1547"/>
    <cellStyle name="Output 2 2 3 2 4" xfId="657"/>
    <cellStyle name="Output 2 2 3 2 4 2" xfId="1549"/>
    <cellStyle name="Output 2 2 3 2 5" xfId="1544"/>
    <cellStyle name="Output 2 2 3 3" xfId="658"/>
    <cellStyle name="Output 2 2 3 3 2" xfId="659"/>
    <cellStyle name="Output 2 2 3 3 2 2" xfId="660"/>
    <cellStyle name="Output 2 2 3 3 2 2 2" xfId="1552"/>
    <cellStyle name="Output 2 2 3 3 2 3" xfId="1551"/>
    <cellStyle name="Output 2 2 3 3 3" xfId="661"/>
    <cellStyle name="Output 2 2 3 3 3 2" xfId="662"/>
    <cellStyle name="Output 2 2 3 3 3 2 2" xfId="1554"/>
    <cellStyle name="Output 2 2 3 3 3 3" xfId="1553"/>
    <cellStyle name="Output 2 2 3 3 4" xfId="663"/>
    <cellStyle name="Output 2 2 3 3 4 2" xfId="1555"/>
    <cellStyle name="Output 2 2 3 3 5" xfId="1550"/>
    <cellStyle name="Output 2 2 3 4" xfId="664"/>
    <cellStyle name="Output 2 2 3 4 2" xfId="665"/>
    <cellStyle name="Output 2 2 3 4 2 2" xfId="1557"/>
    <cellStyle name="Output 2 2 3 4 3" xfId="1556"/>
    <cellStyle name="Output 2 2 3 5" xfId="666"/>
    <cellStyle name="Output 2 2 3 5 2" xfId="667"/>
    <cellStyle name="Output 2 2 3 5 2 2" xfId="1559"/>
    <cellStyle name="Output 2 2 3 5 3" xfId="1558"/>
    <cellStyle name="Output 2 2 3 6" xfId="668"/>
    <cellStyle name="Output 2 2 3 6 2" xfId="669"/>
    <cellStyle name="Output 2 2 3 6 2 2" xfId="1561"/>
    <cellStyle name="Output 2 2 3 6 3" xfId="1560"/>
    <cellStyle name="Output 2 2 3 7" xfId="670"/>
    <cellStyle name="Output 2 2 3 7 2" xfId="1562"/>
    <cellStyle name="Output 2 2 3 8" xfId="1543"/>
    <cellStyle name="Output 2 2 4" xfId="671"/>
    <cellStyle name="Output 2 2 4 2" xfId="672"/>
    <cellStyle name="Output 2 2 4 2 2" xfId="673"/>
    <cellStyle name="Output 2 2 4 2 2 2" xfId="1565"/>
    <cellStyle name="Output 2 2 4 2 3" xfId="1564"/>
    <cellStyle name="Output 2 2 4 3" xfId="674"/>
    <cellStyle name="Output 2 2 4 3 2" xfId="675"/>
    <cellStyle name="Output 2 2 4 3 2 2" xfId="1567"/>
    <cellStyle name="Output 2 2 4 3 3" xfId="1566"/>
    <cellStyle name="Output 2 2 4 4" xfId="676"/>
    <cellStyle name="Output 2 2 4 4 2" xfId="1568"/>
    <cellStyle name="Output 2 2 4 5" xfId="1563"/>
    <cellStyle name="Output 2 2 5" xfId="677"/>
    <cellStyle name="Output 2 2 5 2" xfId="678"/>
    <cellStyle name="Output 2 2 5 2 2" xfId="679"/>
    <cellStyle name="Output 2 2 5 2 2 2" xfId="1571"/>
    <cellStyle name="Output 2 2 5 2 3" xfId="1570"/>
    <cellStyle name="Output 2 2 5 3" xfId="680"/>
    <cellStyle name="Output 2 2 5 3 2" xfId="681"/>
    <cellStyle name="Output 2 2 5 3 2 2" xfId="1573"/>
    <cellStyle name="Output 2 2 5 3 3" xfId="1572"/>
    <cellStyle name="Output 2 2 5 4" xfId="682"/>
    <cellStyle name="Output 2 2 5 4 2" xfId="1574"/>
    <cellStyle name="Output 2 2 5 5" xfId="1569"/>
    <cellStyle name="Output 2 2 6" xfId="683"/>
    <cellStyle name="Output 2 2 6 2" xfId="684"/>
    <cellStyle name="Output 2 2 6 2 2" xfId="1576"/>
    <cellStyle name="Output 2 2 6 3" xfId="1575"/>
    <cellStyle name="Output 2 2 7" xfId="685"/>
    <cellStyle name="Output 2 2 7 2" xfId="686"/>
    <cellStyle name="Output 2 2 7 2 2" xfId="1578"/>
    <cellStyle name="Output 2 2 7 3" xfId="1577"/>
    <cellStyle name="Output 2 2 8" xfId="687"/>
    <cellStyle name="Output 2 2 8 2" xfId="688"/>
    <cellStyle name="Output 2 2 8 2 2" xfId="1580"/>
    <cellStyle name="Output 2 2 8 3" xfId="1579"/>
    <cellStyle name="Output 2 2 9" xfId="689"/>
    <cellStyle name="Output 2 2 9 2" xfId="1581"/>
    <cellStyle name="Output 2 3" xfId="690"/>
    <cellStyle name="Output 2 3 10" xfId="1582"/>
    <cellStyle name="Output 2 3 2" xfId="691"/>
    <cellStyle name="Output 2 3 2 2" xfId="692"/>
    <cellStyle name="Output 2 3 2 2 2" xfId="693"/>
    <cellStyle name="Output 2 3 2 2 2 2" xfId="694"/>
    <cellStyle name="Output 2 3 2 2 2 2 2" xfId="1586"/>
    <cellStyle name="Output 2 3 2 2 2 3" xfId="1585"/>
    <cellStyle name="Output 2 3 2 2 3" xfId="695"/>
    <cellStyle name="Output 2 3 2 2 3 2" xfId="696"/>
    <cellStyle name="Output 2 3 2 2 3 2 2" xfId="1588"/>
    <cellStyle name="Output 2 3 2 2 3 3" xfId="1587"/>
    <cellStyle name="Output 2 3 2 2 4" xfId="697"/>
    <cellStyle name="Output 2 3 2 2 4 2" xfId="1589"/>
    <cellStyle name="Output 2 3 2 2 5" xfId="1584"/>
    <cellStyle name="Output 2 3 2 3" xfId="698"/>
    <cellStyle name="Output 2 3 2 3 2" xfId="699"/>
    <cellStyle name="Output 2 3 2 3 2 2" xfId="700"/>
    <cellStyle name="Output 2 3 2 3 2 2 2" xfId="1592"/>
    <cellStyle name="Output 2 3 2 3 2 3" xfId="1591"/>
    <cellStyle name="Output 2 3 2 3 3" xfId="701"/>
    <cellStyle name="Output 2 3 2 3 3 2" xfId="702"/>
    <cellStyle name="Output 2 3 2 3 3 2 2" xfId="1594"/>
    <cellStyle name="Output 2 3 2 3 3 3" xfId="1593"/>
    <cellStyle name="Output 2 3 2 3 4" xfId="703"/>
    <cellStyle name="Output 2 3 2 3 4 2" xfId="1595"/>
    <cellStyle name="Output 2 3 2 3 5" xfId="1590"/>
    <cellStyle name="Output 2 3 2 4" xfId="704"/>
    <cellStyle name="Output 2 3 2 4 2" xfId="705"/>
    <cellStyle name="Output 2 3 2 4 2 2" xfId="1597"/>
    <cellStyle name="Output 2 3 2 4 3" xfId="1596"/>
    <cellStyle name="Output 2 3 2 5" xfId="706"/>
    <cellStyle name="Output 2 3 2 5 2" xfId="707"/>
    <cellStyle name="Output 2 3 2 5 2 2" xfId="1599"/>
    <cellStyle name="Output 2 3 2 5 3" xfId="1598"/>
    <cellStyle name="Output 2 3 2 6" xfId="708"/>
    <cellStyle name="Output 2 3 2 6 2" xfId="709"/>
    <cellStyle name="Output 2 3 2 6 2 2" xfId="1601"/>
    <cellStyle name="Output 2 3 2 6 3" xfId="1600"/>
    <cellStyle name="Output 2 3 2 7" xfId="710"/>
    <cellStyle name="Output 2 3 2 7 2" xfId="1602"/>
    <cellStyle name="Output 2 3 2 8" xfId="1583"/>
    <cellStyle name="Output 2 3 3" xfId="711"/>
    <cellStyle name="Output 2 3 3 2" xfId="712"/>
    <cellStyle name="Output 2 3 3 2 2" xfId="713"/>
    <cellStyle name="Output 2 3 3 2 2 2" xfId="714"/>
    <cellStyle name="Output 2 3 3 2 2 2 2" xfId="1606"/>
    <cellStyle name="Output 2 3 3 2 2 3" xfId="1605"/>
    <cellStyle name="Output 2 3 3 2 3" xfId="715"/>
    <cellStyle name="Output 2 3 3 2 3 2" xfId="716"/>
    <cellStyle name="Output 2 3 3 2 3 2 2" xfId="1608"/>
    <cellStyle name="Output 2 3 3 2 3 3" xfId="1607"/>
    <cellStyle name="Output 2 3 3 2 4" xfId="717"/>
    <cellStyle name="Output 2 3 3 2 4 2" xfId="1609"/>
    <cellStyle name="Output 2 3 3 2 5" xfId="1604"/>
    <cellStyle name="Output 2 3 3 3" xfId="718"/>
    <cellStyle name="Output 2 3 3 3 2" xfId="719"/>
    <cellStyle name="Output 2 3 3 3 2 2" xfId="720"/>
    <cellStyle name="Output 2 3 3 3 2 2 2" xfId="1612"/>
    <cellStyle name="Output 2 3 3 3 2 3" xfId="1611"/>
    <cellStyle name="Output 2 3 3 3 3" xfId="721"/>
    <cellStyle name="Output 2 3 3 3 3 2" xfId="722"/>
    <cellStyle name="Output 2 3 3 3 3 2 2" xfId="1614"/>
    <cellStyle name="Output 2 3 3 3 3 3" xfId="1613"/>
    <cellStyle name="Output 2 3 3 3 4" xfId="723"/>
    <cellStyle name="Output 2 3 3 3 4 2" xfId="1615"/>
    <cellStyle name="Output 2 3 3 3 5" xfId="1610"/>
    <cellStyle name="Output 2 3 3 4" xfId="724"/>
    <cellStyle name="Output 2 3 3 4 2" xfId="725"/>
    <cellStyle name="Output 2 3 3 4 2 2" xfId="1617"/>
    <cellStyle name="Output 2 3 3 4 3" xfId="1616"/>
    <cellStyle name="Output 2 3 3 5" xfId="726"/>
    <cellStyle name="Output 2 3 3 5 2" xfId="727"/>
    <cellStyle name="Output 2 3 3 5 2 2" xfId="1619"/>
    <cellStyle name="Output 2 3 3 5 3" xfId="1618"/>
    <cellStyle name="Output 2 3 3 6" xfId="728"/>
    <cellStyle name="Output 2 3 3 6 2" xfId="729"/>
    <cellStyle name="Output 2 3 3 6 2 2" xfId="1621"/>
    <cellStyle name="Output 2 3 3 6 3" xfId="1620"/>
    <cellStyle name="Output 2 3 3 7" xfId="730"/>
    <cellStyle name="Output 2 3 3 7 2" xfId="1622"/>
    <cellStyle name="Output 2 3 3 8" xfId="1603"/>
    <cellStyle name="Output 2 3 4" xfId="731"/>
    <cellStyle name="Output 2 3 4 2" xfId="732"/>
    <cellStyle name="Output 2 3 4 2 2" xfId="733"/>
    <cellStyle name="Output 2 3 4 2 2 2" xfId="1625"/>
    <cellStyle name="Output 2 3 4 2 3" xfId="1624"/>
    <cellStyle name="Output 2 3 4 3" xfId="734"/>
    <cellStyle name="Output 2 3 4 3 2" xfId="735"/>
    <cellStyle name="Output 2 3 4 3 2 2" xfId="1627"/>
    <cellStyle name="Output 2 3 4 3 3" xfId="1626"/>
    <cellStyle name="Output 2 3 4 4" xfId="736"/>
    <cellStyle name="Output 2 3 4 4 2" xfId="1628"/>
    <cellStyle name="Output 2 3 4 5" xfId="1623"/>
    <cellStyle name="Output 2 3 5" xfId="737"/>
    <cellStyle name="Output 2 3 5 2" xfId="738"/>
    <cellStyle name="Output 2 3 5 2 2" xfId="739"/>
    <cellStyle name="Output 2 3 5 2 2 2" xfId="1631"/>
    <cellStyle name="Output 2 3 5 2 3" xfId="1630"/>
    <cellStyle name="Output 2 3 5 3" xfId="740"/>
    <cellStyle name="Output 2 3 5 3 2" xfId="741"/>
    <cellStyle name="Output 2 3 5 3 2 2" xfId="1633"/>
    <cellStyle name="Output 2 3 5 3 3" xfId="1632"/>
    <cellStyle name="Output 2 3 5 4" xfId="742"/>
    <cellStyle name="Output 2 3 5 4 2" xfId="1634"/>
    <cellStyle name="Output 2 3 5 5" xfId="1629"/>
    <cellStyle name="Output 2 3 6" xfId="743"/>
    <cellStyle name="Output 2 3 6 2" xfId="744"/>
    <cellStyle name="Output 2 3 6 2 2" xfId="1636"/>
    <cellStyle name="Output 2 3 6 3" xfId="1635"/>
    <cellStyle name="Output 2 3 7" xfId="745"/>
    <cellStyle name="Output 2 3 7 2" xfId="746"/>
    <cellStyle name="Output 2 3 7 2 2" xfId="1638"/>
    <cellStyle name="Output 2 3 7 3" xfId="1637"/>
    <cellStyle name="Output 2 3 8" xfId="747"/>
    <cellStyle name="Output 2 3 8 2" xfId="748"/>
    <cellStyle name="Output 2 3 8 2 2" xfId="1640"/>
    <cellStyle name="Output 2 3 8 3" xfId="1639"/>
    <cellStyle name="Output 2 3 9" xfId="749"/>
    <cellStyle name="Output 2 3 9 2" xfId="1641"/>
    <cellStyle name="Output 2 4" xfId="750"/>
    <cellStyle name="Output 2 4 2" xfId="751"/>
    <cellStyle name="Output 2 4 2 2" xfId="752"/>
    <cellStyle name="Output 2 4 2 2 2" xfId="753"/>
    <cellStyle name="Output 2 4 2 2 2 2" xfId="1645"/>
    <cellStyle name="Output 2 4 2 2 3" xfId="1644"/>
    <cellStyle name="Output 2 4 2 3" xfId="754"/>
    <cellStyle name="Output 2 4 2 3 2" xfId="755"/>
    <cellStyle name="Output 2 4 2 3 2 2" xfId="1647"/>
    <cellStyle name="Output 2 4 2 3 3" xfId="1646"/>
    <cellStyle name="Output 2 4 2 4" xfId="756"/>
    <cellStyle name="Output 2 4 2 4 2" xfId="1648"/>
    <cellStyle name="Output 2 4 2 5" xfId="1643"/>
    <cellStyle name="Output 2 4 3" xfId="757"/>
    <cellStyle name="Output 2 4 3 2" xfId="758"/>
    <cellStyle name="Output 2 4 3 2 2" xfId="759"/>
    <cellStyle name="Output 2 4 3 2 2 2" xfId="1651"/>
    <cellStyle name="Output 2 4 3 2 3" xfId="1650"/>
    <cellStyle name="Output 2 4 3 3" xfId="760"/>
    <cellStyle name="Output 2 4 3 3 2" xfId="761"/>
    <cellStyle name="Output 2 4 3 3 2 2" xfId="1653"/>
    <cellStyle name="Output 2 4 3 3 3" xfId="1652"/>
    <cellStyle name="Output 2 4 3 4" xfId="762"/>
    <cellStyle name="Output 2 4 3 4 2" xfId="1654"/>
    <cellStyle name="Output 2 4 3 5" xfId="1649"/>
    <cellStyle name="Output 2 4 4" xfId="763"/>
    <cellStyle name="Output 2 4 4 2" xfId="764"/>
    <cellStyle name="Output 2 4 4 2 2" xfId="1656"/>
    <cellStyle name="Output 2 4 4 3" xfId="1655"/>
    <cellStyle name="Output 2 4 5" xfId="765"/>
    <cellStyle name="Output 2 4 5 2" xfId="766"/>
    <cellStyle name="Output 2 4 5 2 2" xfId="1658"/>
    <cellStyle name="Output 2 4 5 3" xfId="1657"/>
    <cellStyle name="Output 2 4 6" xfId="767"/>
    <cellStyle name="Output 2 4 6 2" xfId="768"/>
    <cellStyle name="Output 2 4 6 2 2" xfId="1660"/>
    <cellStyle name="Output 2 4 6 3" xfId="1659"/>
    <cellStyle name="Output 2 4 7" xfId="769"/>
    <cellStyle name="Output 2 4 7 2" xfId="1661"/>
    <cellStyle name="Output 2 4 8" xfId="1642"/>
    <cellStyle name="Output 2 5" xfId="770"/>
    <cellStyle name="Output 2 5 2" xfId="771"/>
    <cellStyle name="Output 2 5 2 2" xfId="772"/>
    <cellStyle name="Output 2 5 2 2 2" xfId="773"/>
    <cellStyle name="Output 2 5 2 2 2 2" xfId="1665"/>
    <cellStyle name="Output 2 5 2 2 3" xfId="1664"/>
    <cellStyle name="Output 2 5 2 3" xfId="774"/>
    <cellStyle name="Output 2 5 2 3 2" xfId="775"/>
    <cellStyle name="Output 2 5 2 3 2 2" xfId="1667"/>
    <cellStyle name="Output 2 5 2 3 3" xfId="1666"/>
    <cellStyle name="Output 2 5 2 4" xfId="776"/>
    <cellStyle name="Output 2 5 2 4 2" xfId="1668"/>
    <cellStyle name="Output 2 5 2 5" xfId="1663"/>
    <cellStyle name="Output 2 5 3" xfId="777"/>
    <cellStyle name="Output 2 5 3 2" xfId="778"/>
    <cellStyle name="Output 2 5 3 2 2" xfId="779"/>
    <cellStyle name="Output 2 5 3 2 2 2" xfId="1671"/>
    <cellStyle name="Output 2 5 3 2 3" xfId="1670"/>
    <cellStyle name="Output 2 5 3 3" xfId="780"/>
    <cellStyle name="Output 2 5 3 3 2" xfId="781"/>
    <cellStyle name="Output 2 5 3 3 2 2" xfId="1673"/>
    <cellStyle name="Output 2 5 3 3 3" xfId="1672"/>
    <cellStyle name="Output 2 5 3 4" xfId="782"/>
    <cellStyle name="Output 2 5 3 4 2" xfId="1674"/>
    <cellStyle name="Output 2 5 3 5" xfId="1669"/>
    <cellStyle name="Output 2 5 4" xfId="783"/>
    <cellStyle name="Output 2 5 4 2" xfId="784"/>
    <cellStyle name="Output 2 5 4 2 2" xfId="1676"/>
    <cellStyle name="Output 2 5 4 3" xfId="1675"/>
    <cellStyle name="Output 2 5 5" xfId="785"/>
    <cellStyle name="Output 2 5 5 2" xfId="786"/>
    <cellStyle name="Output 2 5 5 2 2" xfId="1678"/>
    <cellStyle name="Output 2 5 5 3" xfId="1677"/>
    <cellStyle name="Output 2 5 6" xfId="787"/>
    <cellStyle name="Output 2 5 6 2" xfId="788"/>
    <cellStyle name="Output 2 5 6 2 2" xfId="1680"/>
    <cellStyle name="Output 2 5 6 3" xfId="1679"/>
    <cellStyle name="Output 2 5 7" xfId="789"/>
    <cellStyle name="Output 2 5 7 2" xfId="1681"/>
    <cellStyle name="Output 2 5 8" xfId="1662"/>
    <cellStyle name="Output 2 6" xfId="790"/>
    <cellStyle name="Output 2 6 2" xfId="791"/>
    <cellStyle name="Output 2 6 2 2" xfId="792"/>
    <cellStyle name="Output 2 6 2 2 2" xfId="1684"/>
    <cellStyle name="Output 2 6 2 3" xfId="1683"/>
    <cellStyle name="Output 2 6 3" xfId="793"/>
    <cellStyle name="Output 2 6 3 2" xfId="794"/>
    <cellStyle name="Output 2 6 3 2 2" xfId="1686"/>
    <cellStyle name="Output 2 6 3 3" xfId="1685"/>
    <cellStyle name="Output 2 6 4" xfId="795"/>
    <cellStyle name="Output 2 6 4 2" xfId="1687"/>
    <cellStyle name="Output 2 6 5" xfId="1682"/>
    <cellStyle name="Output 2 7" xfId="796"/>
    <cellStyle name="Output 2 7 2" xfId="797"/>
    <cellStyle name="Output 2 7 2 2" xfId="798"/>
    <cellStyle name="Output 2 7 2 2 2" xfId="1690"/>
    <cellStyle name="Output 2 7 2 3" xfId="1689"/>
    <cellStyle name="Output 2 7 3" xfId="799"/>
    <cellStyle name="Output 2 7 3 2" xfId="800"/>
    <cellStyle name="Output 2 7 3 2 2" xfId="1692"/>
    <cellStyle name="Output 2 7 3 3" xfId="1691"/>
    <cellStyle name="Output 2 7 4" xfId="801"/>
    <cellStyle name="Output 2 7 4 2" xfId="1693"/>
    <cellStyle name="Output 2 7 5" xfId="1688"/>
    <cellStyle name="Output 2 8" xfId="802"/>
    <cellStyle name="Output 2 8 2" xfId="803"/>
    <cellStyle name="Output 2 8 2 2" xfId="1695"/>
    <cellStyle name="Output 2 8 3" xfId="1694"/>
    <cellStyle name="Output 2 9" xfId="804"/>
    <cellStyle name="Output 2 9 2" xfId="805"/>
    <cellStyle name="Output 2 9 2 2" xfId="1697"/>
    <cellStyle name="Output 2 9 3" xfId="1696"/>
    <cellStyle name="Title" xfId="1" builtinId="15" customBuiltin="1"/>
    <cellStyle name="Title 2" xfId="806"/>
    <cellStyle name="Total" xfId="17" builtinId="25" customBuiltin="1"/>
    <cellStyle name="Total 2" xfId="807"/>
    <cellStyle name="Total 2 10" xfId="808"/>
    <cellStyle name="Total 2 10 2" xfId="1699"/>
    <cellStyle name="Total 2 11" xfId="1698"/>
    <cellStyle name="Total 2 2" xfId="809"/>
    <cellStyle name="Total 2 2 10" xfId="1700"/>
    <cellStyle name="Total 2 2 2" xfId="810"/>
    <cellStyle name="Total 2 2 2 2" xfId="811"/>
    <cellStyle name="Total 2 2 2 2 2" xfId="812"/>
    <cellStyle name="Total 2 2 2 2 2 2" xfId="813"/>
    <cellStyle name="Total 2 2 2 2 2 2 2" xfId="1704"/>
    <cellStyle name="Total 2 2 2 2 2 3" xfId="1703"/>
    <cellStyle name="Total 2 2 2 2 3" xfId="814"/>
    <cellStyle name="Total 2 2 2 2 3 2" xfId="815"/>
    <cellStyle name="Total 2 2 2 2 3 2 2" xfId="1706"/>
    <cellStyle name="Total 2 2 2 2 3 3" xfId="1705"/>
    <cellStyle name="Total 2 2 2 2 4" xfId="816"/>
    <cellStyle name="Total 2 2 2 2 4 2" xfId="1707"/>
    <cellStyle name="Total 2 2 2 2 5" xfId="1702"/>
    <cellStyle name="Total 2 2 2 3" xfId="817"/>
    <cellStyle name="Total 2 2 2 3 2" xfId="818"/>
    <cellStyle name="Total 2 2 2 3 2 2" xfId="819"/>
    <cellStyle name="Total 2 2 2 3 2 2 2" xfId="1710"/>
    <cellStyle name="Total 2 2 2 3 2 3" xfId="1709"/>
    <cellStyle name="Total 2 2 2 3 3" xfId="820"/>
    <cellStyle name="Total 2 2 2 3 3 2" xfId="821"/>
    <cellStyle name="Total 2 2 2 3 3 2 2" xfId="1712"/>
    <cellStyle name="Total 2 2 2 3 3 3" xfId="1711"/>
    <cellStyle name="Total 2 2 2 3 4" xfId="822"/>
    <cellStyle name="Total 2 2 2 3 4 2" xfId="1713"/>
    <cellStyle name="Total 2 2 2 3 5" xfId="1708"/>
    <cellStyle name="Total 2 2 2 4" xfId="823"/>
    <cellStyle name="Total 2 2 2 4 2" xfId="824"/>
    <cellStyle name="Total 2 2 2 4 2 2" xfId="1715"/>
    <cellStyle name="Total 2 2 2 4 3" xfId="1714"/>
    <cellStyle name="Total 2 2 2 5" xfId="825"/>
    <cellStyle name="Total 2 2 2 5 2" xfId="826"/>
    <cellStyle name="Total 2 2 2 5 2 2" xfId="1717"/>
    <cellStyle name="Total 2 2 2 5 3" xfId="1716"/>
    <cellStyle name="Total 2 2 2 6" xfId="827"/>
    <cellStyle name="Total 2 2 2 6 2" xfId="828"/>
    <cellStyle name="Total 2 2 2 6 2 2" xfId="1719"/>
    <cellStyle name="Total 2 2 2 6 3" xfId="1718"/>
    <cellStyle name="Total 2 2 2 7" xfId="829"/>
    <cellStyle name="Total 2 2 2 7 2" xfId="1720"/>
    <cellStyle name="Total 2 2 2 8" xfId="1701"/>
    <cellStyle name="Total 2 2 3" xfId="830"/>
    <cellStyle name="Total 2 2 3 2" xfId="831"/>
    <cellStyle name="Total 2 2 3 2 2" xfId="832"/>
    <cellStyle name="Total 2 2 3 2 2 2" xfId="833"/>
    <cellStyle name="Total 2 2 3 2 2 2 2" xfId="1724"/>
    <cellStyle name="Total 2 2 3 2 2 3" xfId="1723"/>
    <cellStyle name="Total 2 2 3 2 3" xfId="834"/>
    <cellStyle name="Total 2 2 3 2 3 2" xfId="835"/>
    <cellStyle name="Total 2 2 3 2 3 2 2" xfId="1726"/>
    <cellStyle name="Total 2 2 3 2 3 3" xfId="1725"/>
    <cellStyle name="Total 2 2 3 2 4" xfId="836"/>
    <cellStyle name="Total 2 2 3 2 4 2" xfId="1727"/>
    <cellStyle name="Total 2 2 3 2 5" xfId="1722"/>
    <cellStyle name="Total 2 2 3 3" xfId="837"/>
    <cellStyle name="Total 2 2 3 3 2" xfId="838"/>
    <cellStyle name="Total 2 2 3 3 2 2" xfId="839"/>
    <cellStyle name="Total 2 2 3 3 2 2 2" xfId="1730"/>
    <cellStyle name="Total 2 2 3 3 2 3" xfId="1729"/>
    <cellStyle name="Total 2 2 3 3 3" xfId="840"/>
    <cellStyle name="Total 2 2 3 3 3 2" xfId="841"/>
    <cellStyle name="Total 2 2 3 3 3 2 2" xfId="1732"/>
    <cellStyle name="Total 2 2 3 3 3 3" xfId="1731"/>
    <cellStyle name="Total 2 2 3 3 4" xfId="842"/>
    <cellStyle name="Total 2 2 3 3 4 2" xfId="1733"/>
    <cellStyle name="Total 2 2 3 3 5" xfId="1728"/>
    <cellStyle name="Total 2 2 3 4" xfId="843"/>
    <cellStyle name="Total 2 2 3 4 2" xfId="844"/>
    <cellStyle name="Total 2 2 3 4 2 2" xfId="1735"/>
    <cellStyle name="Total 2 2 3 4 3" xfId="1734"/>
    <cellStyle name="Total 2 2 3 5" xfId="845"/>
    <cellStyle name="Total 2 2 3 5 2" xfId="846"/>
    <cellStyle name="Total 2 2 3 5 2 2" xfId="1737"/>
    <cellStyle name="Total 2 2 3 5 3" xfId="1736"/>
    <cellStyle name="Total 2 2 3 6" xfId="847"/>
    <cellStyle name="Total 2 2 3 6 2" xfId="848"/>
    <cellStyle name="Total 2 2 3 6 2 2" xfId="1739"/>
    <cellStyle name="Total 2 2 3 6 3" xfId="1738"/>
    <cellStyle name="Total 2 2 3 7" xfId="849"/>
    <cellStyle name="Total 2 2 3 7 2" xfId="1740"/>
    <cellStyle name="Total 2 2 3 8" xfId="1721"/>
    <cellStyle name="Total 2 2 4" xfId="850"/>
    <cellStyle name="Total 2 2 4 2" xfId="851"/>
    <cellStyle name="Total 2 2 4 2 2" xfId="852"/>
    <cellStyle name="Total 2 2 4 2 2 2" xfId="1743"/>
    <cellStyle name="Total 2 2 4 2 3" xfId="1742"/>
    <cellStyle name="Total 2 2 4 3" xfId="853"/>
    <cellStyle name="Total 2 2 4 3 2" xfId="854"/>
    <cellStyle name="Total 2 2 4 3 2 2" xfId="1745"/>
    <cellStyle name="Total 2 2 4 3 3" xfId="1744"/>
    <cellStyle name="Total 2 2 4 4" xfId="855"/>
    <cellStyle name="Total 2 2 4 4 2" xfId="1746"/>
    <cellStyle name="Total 2 2 4 5" xfId="1741"/>
    <cellStyle name="Total 2 2 5" xfId="856"/>
    <cellStyle name="Total 2 2 5 2" xfId="857"/>
    <cellStyle name="Total 2 2 5 2 2" xfId="858"/>
    <cellStyle name="Total 2 2 5 2 2 2" xfId="1749"/>
    <cellStyle name="Total 2 2 5 2 3" xfId="1748"/>
    <cellStyle name="Total 2 2 5 3" xfId="859"/>
    <cellStyle name="Total 2 2 5 3 2" xfId="860"/>
    <cellStyle name="Total 2 2 5 3 2 2" xfId="1751"/>
    <cellStyle name="Total 2 2 5 3 3" xfId="1750"/>
    <cellStyle name="Total 2 2 5 4" xfId="861"/>
    <cellStyle name="Total 2 2 5 4 2" xfId="1752"/>
    <cellStyle name="Total 2 2 5 5" xfId="1747"/>
    <cellStyle name="Total 2 2 6" xfId="862"/>
    <cellStyle name="Total 2 2 6 2" xfId="863"/>
    <cellStyle name="Total 2 2 6 2 2" xfId="1754"/>
    <cellStyle name="Total 2 2 6 3" xfId="1753"/>
    <cellStyle name="Total 2 2 7" xfId="864"/>
    <cellStyle name="Total 2 2 7 2" xfId="865"/>
    <cellStyle name="Total 2 2 7 2 2" xfId="1756"/>
    <cellStyle name="Total 2 2 7 3" xfId="1755"/>
    <cellStyle name="Total 2 2 8" xfId="866"/>
    <cellStyle name="Total 2 2 8 2" xfId="867"/>
    <cellStyle name="Total 2 2 8 2 2" xfId="1758"/>
    <cellStyle name="Total 2 2 8 3" xfId="1757"/>
    <cellStyle name="Total 2 2 9" xfId="868"/>
    <cellStyle name="Total 2 2 9 2" xfId="1759"/>
    <cellStyle name="Total 2 3" xfId="869"/>
    <cellStyle name="Total 2 3 10" xfId="1760"/>
    <cellStyle name="Total 2 3 2" xfId="870"/>
    <cellStyle name="Total 2 3 2 2" xfId="871"/>
    <cellStyle name="Total 2 3 2 2 2" xfId="872"/>
    <cellStyle name="Total 2 3 2 2 2 2" xfId="873"/>
    <cellStyle name="Total 2 3 2 2 2 2 2" xfId="1764"/>
    <cellStyle name="Total 2 3 2 2 2 3" xfId="1763"/>
    <cellStyle name="Total 2 3 2 2 3" xfId="874"/>
    <cellStyle name="Total 2 3 2 2 3 2" xfId="875"/>
    <cellStyle name="Total 2 3 2 2 3 2 2" xfId="1766"/>
    <cellStyle name="Total 2 3 2 2 3 3" xfId="1765"/>
    <cellStyle name="Total 2 3 2 2 4" xfId="876"/>
    <cellStyle name="Total 2 3 2 2 4 2" xfId="1767"/>
    <cellStyle name="Total 2 3 2 2 5" xfId="1762"/>
    <cellStyle name="Total 2 3 2 3" xfId="877"/>
    <cellStyle name="Total 2 3 2 3 2" xfId="878"/>
    <cellStyle name="Total 2 3 2 3 2 2" xfId="879"/>
    <cellStyle name="Total 2 3 2 3 2 2 2" xfId="1770"/>
    <cellStyle name="Total 2 3 2 3 2 3" xfId="1769"/>
    <cellStyle name="Total 2 3 2 3 3" xfId="880"/>
    <cellStyle name="Total 2 3 2 3 3 2" xfId="881"/>
    <cellStyle name="Total 2 3 2 3 3 2 2" xfId="1772"/>
    <cellStyle name="Total 2 3 2 3 3 3" xfId="1771"/>
    <cellStyle name="Total 2 3 2 3 4" xfId="882"/>
    <cellStyle name="Total 2 3 2 3 4 2" xfId="1773"/>
    <cellStyle name="Total 2 3 2 3 5" xfId="1768"/>
    <cellStyle name="Total 2 3 2 4" xfId="883"/>
    <cellStyle name="Total 2 3 2 4 2" xfId="884"/>
    <cellStyle name="Total 2 3 2 4 2 2" xfId="1775"/>
    <cellStyle name="Total 2 3 2 4 3" xfId="1774"/>
    <cellStyle name="Total 2 3 2 5" xfId="885"/>
    <cellStyle name="Total 2 3 2 5 2" xfId="886"/>
    <cellStyle name="Total 2 3 2 5 2 2" xfId="1777"/>
    <cellStyle name="Total 2 3 2 5 3" xfId="1776"/>
    <cellStyle name="Total 2 3 2 6" xfId="887"/>
    <cellStyle name="Total 2 3 2 6 2" xfId="888"/>
    <cellStyle name="Total 2 3 2 6 2 2" xfId="1779"/>
    <cellStyle name="Total 2 3 2 6 3" xfId="1778"/>
    <cellStyle name="Total 2 3 2 7" xfId="889"/>
    <cellStyle name="Total 2 3 2 7 2" xfId="1780"/>
    <cellStyle name="Total 2 3 2 8" xfId="1761"/>
    <cellStyle name="Total 2 3 3" xfId="890"/>
    <cellStyle name="Total 2 3 3 2" xfId="891"/>
    <cellStyle name="Total 2 3 3 2 2" xfId="892"/>
    <cellStyle name="Total 2 3 3 2 2 2" xfId="893"/>
    <cellStyle name="Total 2 3 3 2 2 2 2" xfId="1784"/>
    <cellStyle name="Total 2 3 3 2 2 3" xfId="1783"/>
    <cellStyle name="Total 2 3 3 2 3" xfId="894"/>
    <cellStyle name="Total 2 3 3 2 3 2" xfId="895"/>
    <cellStyle name="Total 2 3 3 2 3 2 2" xfId="1786"/>
    <cellStyle name="Total 2 3 3 2 3 3" xfId="1785"/>
    <cellStyle name="Total 2 3 3 2 4" xfId="896"/>
    <cellStyle name="Total 2 3 3 2 4 2" xfId="1787"/>
    <cellStyle name="Total 2 3 3 2 5" xfId="1782"/>
    <cellStyle name="Total 2 3 3 3" xfId="897"/>
    <cellStyle name="Total 2 3 3 3 2" xfId="898"/>
    <cellStyle name="Total 2 3 3 3 2 2" xfId="899"/>
    <cellStyle name="Total 2 3 3 3 2 2 2" xfId="1790"/>
    <cellStyle name="Total 2 3 3 3 2 3" xfId="1789"/>
    <cellStyle name="Total 2 3 3 3 3" xfId="900"/>
    <cellStyle name="Total 2 3 3 3 3 2" xfId="901"/>
    <cellStyle name="Total 2 3 3 3 3 2 2" xfId="1792"/>
    <cellStyle name="Total 2 3 3 3 3 3" xfId="1791"/>
    <cellStyle name="Total 2 3 3 3 4" xfId="902"/>
    <cellStyle name="Total 2 3 3 3 4 2" xfId="1793"/>
    <cellStyle name="Total 2 3 3 3 5" xfId="1788"/>
    <cellStyle name="Total 2 3 3 4" xfId="903"/>
    <cellStyle name="Total 2 3 3 4 2" xfId="904"/>
    <cellStyle name="Total 2 3 3 4 2 2" xfId="1795"/>
    <cellStyle name="Total 2 3 3 4 3" xfId="1794"/>
    <cellStyle name="Total 2 3 3 5" xfId="905"/>
    <cellStyle name="Total 2 3 3 5 2" xfId="906"/>
    <cellStyle name="Total 2 3 3 5 2 2" xfId="1797"/>
    <cellStyle name="Total 2 3 3 5 3" xfId="1796"/>
    <cellStyle name="Total 2 3 3 6" xfId="907"/>
    <cellStyle name="Total 2 3 3 6 2" xfId="908"/>
    <cellStyle name="Total 2 3 3 6 2 2" xfId="1799"/>
    <cellStyle name="Total 2 3 3 6 3" xfId="1798"/>
    <cellStyle name="Total 2 3 3 7" xfId="909"/>
    <cellStyle name="Total 2 3 3 7 2" xfId="1800"/>
    <cellStyle name="Total 2 3 3 8" xfId="1781"/>
    <cellStyle name="Total 2 3 4" xfId="910"/>
    <cellStyle name="Total 2 3 4 2" xfId="911"/>
    <cellStyle name="Total 2 3 4 2 2" xfId="912"/>
    <cellStyle name="Total 2 3 4 2 2 2" xfId="1803"/>
    <cellStyle name="Total 2 3 4 2 3" xfId="1802"/>
    <cellStyle name="Total 2 3 4 3" xfId="913"/>
    <cellStyle name="Total 2 3 4 3 2" xfId="914"/>
    <cellStyle name="Total 2 3 4 3 2 2" xfId="1805"/>
    <cellStyle name="Total 2 3 4 3 3" xfId="1804"/>
    <cellStyle name="Total 2 3 4 4" xfId="915"/>
    <cellStyle name="Total 2 3 4 4 2" xfId="1806"/>
    <cellStyle name="Total 2 3 4 5" xfId="1801"/>
    <cellStyle name="Total 2 3 5" xfId="916"/>
    <cellStyle name="Total 2 3 5 2" xfId="917"/>
    <cellStyle name="Total 2 3 5 2 2" xfId="918"/>
    <cellStyle name="Total 2 3 5 2 2 2" xfId="1809"/>
    <cellStyle name="Total 2 3 5 2 3" xfId="1808"/>
    <cellStyle name="Total 2 3 5 3" xfId="919"/>
    <cellStyle name="Total 2 3 5 3 2" xfId="920"/>
    <cellStyle name="Total 2 3 5 3 2 2" xfId="1811"/>
    <cellStyle name="Total 2 3 5 3 3" xfId="1810"/>
    <cellStyle name="Total 2 3 5 4" xfId="921"/>
    <cellStyle name="Total 2 3 5 4 2" xfId="1812"/>
    <cellStyle name="Total 2 3 5 5" xfId="1807"/>
    <cellStyle name="Total 2 3 6" xfId="922"/>
    <cellStyle name="Total 2 3 6 2" xfId="923"/>
    <cellStyle name="Total 2 3 6 2 2" xfId="1814"/>
    <cellStyle name="Total 2 3 6 3" xfId="1813"/>
    <cellStyle name="Total 2 3 7" xfId="924"/>
    <cellStyle name="Total 2 3 7 2" xfId="925"/>
    <cellStyle name="Total 2 3 7 2 2" xfId="1816"/>
    <cellStyle name="Total 2 3 7 3" xfId="1815"/>
    <cellStyle name="Total 2 3 8" xfId="926"/>
    <cellStyle name="Total 2 3 8 2" xfId="927"/>
    <cellStyle name="Total 2 3 8 2 2" xfId="1818"/>
    <cellStyle name="Total 2 3 8 3" xfId="1817"/>
    <cellStyle name="Total 2 3 9" xfId="928"/>
    <cellStyle name="Total 2 3 9 2" xfId="1819"/>
    <cellStyle name="Total 2 4" xfId="929"/>
    <cellStyle name="Total 2 4 2" xfId="930"/>
    <cellStyle name="Total 2 4 2 2" xfId="931"/>
    <cellStyle name="Total 2 4 2 2 2" xfId="932"/>
    <cellStyle name="Total 2 4 2 2 2 2" xfId="1823"/>
    <cellStyle name="Total 2 4 2 2 3" xfId="1822"/>
    <cellStyle name="Total 2 4 2 3" xfId="933"/>
    <cellStyle name="Total 2 4 2 3 2" xfId="934"/>
    <cellStyle name="Total 2 4 2 3 2 2" xfId="1825"/>
    <cellStyle name="Total 2 4 2 3 3" xfId="1824"/>
    <cellStyle name="Total 2 4 2 4" xfId="935"/>
    <cellStyle name="Total 2 4 2 4 2" xfId="1826"/>
    <cellStyle name="Total 2 4 2 5" xfId="1821"/>
    <cellStyle name="Total 2 4 3" xfId="936"/>
    <cellStyle name="Total 2 4 3 2" xfId="937"/>
    <cellStyle name="Total 2 4 3 2 2" xfId="938"/>
    <cellStyle name="Total 2 4 3 2 2 2" xfId="1829"/>
    <cellStyle name="Total 2 4 3 2 3" xfId="1828"/>
    <cellStyle name="Total 2 4 3 3" xfId="939"/>
    <cellStyle name="Total 2 4 3 3 2" xfId="940"/>
    <cellStyle name="Total 2 4 3 3 2 2" xfId="1831"/>
    <cellStyle name="Total 2 4 3 3 3" xfId="1830"/>
    <cellStyle name="Total 2 4 3 4" xfId="941"/>
    <cellStyle name="Total 2 4 3 4 2" xfId="1832"/>
    <cellStyle name="Total 2 4 3 5" xfId="1827"/>
    <cellStyle name="Total 2 4 4" xfId="942"/>
    <cellStyle name="Total 2 4 4 2" xfId="943"/>
    <cellStyle name="Total 2 4 4 2 2" xfId="1834"/>
    <cellStyle name="Total 2 4 4 3" xfId="1833"/>
    <cellStyle name="Total 2 4 5" xfId="944"/>
    <cellStyle name="Total 2 4 5 2" xfId="945"/>
    <cellStyle name="Total 2 4 5 2 2" xfId="1836"/>
    <cellStyle name="Total 2 4 5 3" xfId="1835"/>
    <cellStyle name="Total 2 4 6" xfId="946"/>
    <cellStyle name="Total 2 4 6 2" xfId="947"/>
    <cellStyle name="Total 2 4 6 2 2" xfId="1838"/>
    <cellStyle name="Total 2 4 6 3" xfId="1837"/>
    <cellStyle name="Total 2 4 7" xfId="948"/>
    <cellStyle name="Total 2 4 7 2" xfId="1839"/>
    <cellStyle name="Total 2 4 8" xfId="1820"/>
    <cellStyle name="Total 2 5" xfId="949"/>
    <cellStyle name="Total 2 5 2" xfId="950"/>
    <cellStyle name="Total 2 5 2 2" xfId="951"/>
    <cellStyle name="Total 2 5 2 2 2" xfId="952"/>
    <cellStyle name="Total 2 5 2 2 2 2" xfId="1843"/>
    <cellStyle name="Total 2 5 2 2 3" xfId="1842"/>
    <cellStyle name="Total 2 5 2 3" xfId="953"/>
    <cellStyle name="Total 2 5 2 3 2" xfId="954"/>
    <cellStyle name="Total 2 5 2 3 2 2" xfId="1845"/>
    <cellStyle name="Total 2 5 2 3 3" xfId="1844"/>
    <cellStyle name="Total 2 5 2 4" xfId="955"/>
    <cellStyle name="Total 2 5 2 4 2" xfId="1846"/>
    <cellStyle name="Total 2 5 2 5" xfId="1841"/>
    <cellStyle name="Total 2 5 3" xfId="956"/>
    <cellStyle name="Total 2 5 3 2" xfId="957"/>
    <cellStyle name="Total 2 5 3 2 2" xfId="958"/>
    <cellStyle name="Total 2 5 3 2 2 2" xfId="1849"/>
    <cellStyle name="Total 2 5 3 2 3" xfId="1848"/>
    <cellStyle name="Total 2 5 3 3" xfId="959"/>
    <cellStyle name="Total 2 5 3 3 2" xfId="960"/>
    <cellStyle name="Total 2 5 3 3 2 2" xfId="1851"/>
    <cellStyle name="Total 2 5 3 3 3" xfId="1850"/>
    <cellStyle name="Total 2 5 3 4" xfId="961"/>
    <cellStyle name="Total 2 5 3 4 2" xfId="1852"/>
    <cellStyle name="Total 2 5 3 5" xfId="1847"/>
    <cellStyle name="Total 2 5 4" xfId="962"/>
    <cellStyle name="Total 2 5 4 2" xfId="963"/>
    <cellStyle name="Total 2 5 4 2 2" xfId="1854"/>
    <cellStyle name="Total 2 5 4 3" xfId="1853"/>
    <cellStyle name="Total 2 5 5" xfId="964"/>
    <cellStyle name="Total 2 5 5 2" xfId="965"/>
    <cellStyle name="Total 2 5 5 2 2" xfId="1856"/>
    <cellStyle name="Total 2 5 5 3" xfId="1855"/>
    <cellStyle name="Total 2 5 6" xfId="966"/>
    <cellStyle name="Total 2 5 6 2" xfId="967"/>
    <cellStyle name="Total 2 5 6 2 2" xfId="1858"/>
    <cellStyle name="Total 2 5 6 3" xfId="1857"/>
    <cellStyle name="Total 2 5 7" xfId="968"/>
    <cellStyle name="Total 2 5 7 2" xfId="1859"/>
    <cellStyle name="Total 2 5 8" xfId="1840"/>
    <cellStyle name="Total 2 6" xfId="969"/>
    <cellStyle name="Total 2 6 2" xfId="970"/>
    <cellStyle name="Total 2 6 2 2" xfId="971"/>
    <cellStyle name="Total 2 6 2 2 2" xfId="1862"/>
    <cellStyle name="Total 2 6 2 3" xfId="1861"/>
    <cellStyle name="Total 2 6 3" xfId="972"/>
    <cellStyle name="Total 2 6 3 2" xfId="973"/>
    <cellStyle name="Total 2 6 3 2 2" xfId="1864"/>
    <cellStyle name="Total 2 6 3 3" xfId="1863"/>
    <cellStyle name="Total 2 6 4" xfId="974"/>
    <cellStyle name="Total 2 6 4 2" xfId="1865"/>
    <cellStyle name="Total 2 6 5" xfId="1860"/>
    <cellStyle name="Total 2 7" xfId="975"/>
    <cellStyle name="Total 2 7 2" xfId="976"/>
    <cellStyle name="Total 2 7 2 2" xfId="977"/>
    <cellStyle name="Total 2 7 2 2 2" xfId="1868"/>
    <cellStyle name="Total 2 7 2 3" xfId="1867"/>
    <cellStyle name="Total 2 7 3" xfId="978"/>
    <cellStyle name="Total 2 7 3 2" xfId="979"/>
    <cellStyle name="Total 2 7 3 2 2" xfId="1870"/>
    <cellStyle name="Total 2 7 3 3" xfId="1869"/>
    <cellStyle name="Total 2 7 4" xfId="980"/>
    <cellStyle name="Total 2 7 4 2" xfId="1871"/>
    <cellStyle name="Total 2 7 5" xfId="1866"/>
    <cellStyle name="Total 2 8" xfId="981"/>
    <cellStyle name="Total 2 8 2" xfId="982"/>
    <cellStyle name="Total 2 8 2 2" xfId="1873"/>
    <cellStyle name="Total 2 8 3" xfId="1872"/>
    <cellStyle name="Total 2 9" xfId="983"/>
    <cellStyle name="Total 2 9 2" xfId="984"/>
    <cellStyle name="Total 2 9 2 2" xfId="1875"/>
    <cellStyle name="Total 2 9 3" xfId="1874"/>
    <cellStyle name="Warning Text" xfId="14" builtinId="11" customBuiltin="1"/>
    <cellStyle name="Warning Text 2" xfId="98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FF"/>
      <color rgb="FFD8E4BC"/>
      <color rgb="FFB7DEE8"/>
      <color rgb="FFE6B8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166682</xdr:colOff>
      <xdr:row>17</xdr:row>
      <xdr:rowOff>71778</xdr:rowOff>
    </xdr:from>
    <xdr:to>
      <xdr:col>2</xdr:col>
      <xdr:colOff>661987</xdr:colOff>
      <xdr:row>19</xdr:row>
      <xdr:rowOff>128928</xdr:rowOff>
    </xdr:to>
    <xdr:sp macro="[0]!ToContro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1457" y="3662703"/>
          <a:ext cx="1209680" cy="4572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Go to Controls</a:t>
          </a:r>
          <a:endParaRPr lang="en-US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166682</xdr:colOff>
      <xdr:row>20</xdr:row>
      <xdr:rowOff>75859</xdr:rowOff>
    </xdr:from>
    <xdr:to>
      <xdr:col>2</xdr:col>
      <xdr:colOff>661987</xdr:colOff>
      <xdr:row>22</xdr:row>
      <xdr:rowOff>133009</xdr:rowOff>
    </xdr:to>
    <xdr:sp macro="[0]!ToVariableDef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1457" y="4266859"/>
          <a:ext cx="1209680" cy="4572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Go to Variable Definitions</a:t>
          </a:r>
        </a:p>
      </xdr:txBody>
    </xdr:sp>
    <xdr:clientData/>
  </xdr:twoCellAnchor>
  <xdr:twoCellAnchor>
    <xdr:from>
      <xdr:col>1</xdr:col>
      <xdr:colOff>166682</xdr:colOff>
      <xdr:row>23</xdr:row>
      <xdr:rowOff>77900</xdr:rowOff>
    </xdr:from>
    <xdr:to>
      <xdr:col>2</xdr:col>
      <xdr:colOff>661987</xdr:colOff>
      <xdr:row>25</xdr:row>
      <xdr:rowOff>135050</xdr:rowOff>
    </xdr:to>
    <xdr:sp macro="[0]!ToScenario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1457" y="4868975"/>
          <a:ext cx="1209680" cy="4572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Go to Loaded Scenarios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</xdr:row>
          <xdr:rowOff>85725</xdr:rowOff>
        </xdr:from>
        <xdr:to>
          <xdr:col>0</xdr:col>
          <xdr:colOff>2143125</xdr:colOff>
          <xdr:row>5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WMOST Scenario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4</xdr:col>
          <xdr:colOff>485775</xdr:colOff>
          <xdr:row>5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 Decisions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57150</xdr:rowOff>
        </xdr:from>
        <xdr:to>
          <xdr:col>10</xdr:col>
          <xdr:colOff>447675</xdr:colOff>
          <xdr:row>5</xdr:row>
          <xdr:rowOff>123825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Tables and Graphs from Selected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7</xdr:row>
          <xdr:rowOff>28575</xdr:rowOff>
        </xdr:from>
        <xdr:to>
          <xdr:col>10</xdr:col>
          <xdr:colOff>457200</xdr:colOff>
          <xdr:row>11</xdr:row>
          <xdr:rowOff>104775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Tables and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114300</xdr:rowOff>
        </xdr:from>
        <xdr:to>
          <xdr:col>15</xdr:col>
          <xdr:colOff>247650</xdr:colOff>
          <xdr:row>2</xdr:row>
          <xdr:rowOff>133350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Controls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333375</xdr:rowOff>
        </xdr:from>
        <xdr:to>
          <xdr:col>13</xdr:col>
          <xdr:colOff>1819275</xdr:colOff>
          <xdr:row>0</xdr:row>
          <xdr:rowOff>1009650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Selected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342900</xdr:rowOff>
        </xdr:from>
        <xdr:to>
          <xdr:col>16</xdr:col>
          <xdr:colOff>257175</xdr:colOff>
          <xdr:row>0</xdr:row>
          <xdr:rowOff>1009650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Controls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29"/>
  <sheetViews>
    <sheetView showRowColHeaders="0" tabSelected="1" zoomScaleNormal="100" workbookViewId="0"/>
  </sheetViews>
  <sheetFormatPr defaultColWidth="9.140625" defaultRowHeight="15" x14ac:dyDescent="0.25"/>
  <cols>
    <col min="1" max="1" width="1.5703125" style="41" customWidth="1"/>
    <col min="2" max="18" width="10.7109375" style="41" customWidth="1"/>
    <col min="19" max="16384" width="9.140625" style="41"/>
  </cols>
  <sheetData>
    <row r="1" spans="2:24" ht="9.75" customHeight="1" thickBot="1" x14ac:dyDescent="0.3"/>
    <row r="2" spans="2:24" ht="18.95" customHeight="1" x14ac:dyDescent="0.25">
      <c r="B2" s="96" t="s">
        <v>178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8"/>
      <c r="T2" s="42"/>
      <c r="U2" s="42"/>
      <c r="V2" s="42"/>
      <c r="W2" s="42"/>
      <c r="X2" s="42"/>
    </row>
    <row r="3" spans="2:24" s="42" customFormat="1" ht="18.95" customHeight="1" x14ac:dyDescent="0.25">
      <c r="B3" s="99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1"/>
    </row>
    <row r="4" spans="2:24" ht="18.95" customHeight="1" x14ac:dyDescent="0.25">
      <c r="B4" s="102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4"/>
      <c r="T4" s="42"/>
      <c r="U4" s="91"/>
      <c r="V4" s="42"/>
      <c r="W4" s="42"/>
      <c r="X4" s="42"/>
    </row>
    <row r="5" spans="2:24" s="42" customFormat="1" ht="18.95" customHeight="1" x14ac:dyDescent="0.3">
      <c r="B5" s="105" t="s">
        <v>177</v>
      </c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7"/>
      <c r="U5" s="91"/>
    </row>
    <row r="6" spans="2:24" ht="18.95" customHeight="1" x14ac:dyDescent="0.25">
      <c r="B6" s="108" t="s">
        <v>172</v>
      </c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10"/>
      <c r="T6" s="42"/>
      <c r="U6" s="91"/>
      <c r="V6" s="42"/>
      <c r="W6" s="42"/>
      <c r="X6" s="42"/>
    </row>
    <row r="7" spans="2:24" s="42" customFormat="1" ht="18.95" customHeight="1" x14ac:dyDescent="0.25">
      <c r="B7" s="108" t="s">
        <v>173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10"/>
      <c r="U7" s="91"/>
    </row>
    <row r="8" spans="2:24" ht="18.95" customHeight="1" thickBot="1" x14ac:dyDescent="0.3">
      <c r="B8" s="111" t="s">
        <v>169</v>
      </c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3"/>
      <c r="T8" s="42"/>
      <c r="U8" s="91"/>
      <c r="V8" s="42"/>
      <c r="W8" s="42"/>
      <c r="X8" s="42"/>
    </row>
    <row r="9" spans="2:24" ht="15.95" customHeight="1" x14ac:dyDescent="0.25">
      <c r="T9" s="42"/>
      <c r="U9" s="91"/>
      <c r="V9" s="42"/>
      <c r="W9" s="42"/>
      <c r="X9" s="42"/>
    </row>
    <row r="10" spans="2:24" ht="15.95" customHeight="1" x14ac:dyDescent="0.25">
      <c r="B10" s="84" t="s">
        <v>170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T10" s="42"/>
      <c r="U10" s="42"/>
      <c r="V10" s="42"/>
      <c r="W10" s="42"/>
      <c r="X10" s="42"/>
    </row>
    <row r="11" spans="2:24" ht="15.95" customHeight="1" x14ac:dyDescent="0.25">
      <c r="B11" s="44"/>
      <c r="T11" s="42"/>
      <c r="U11" s="91"/>
      <c r="V11" s="91"/>
      <c r="W11" s="91"/>
      <c r="X11" s="91"/>
    </row>
    <row r="12" spans="2:24" ht="15.95" customHeight="1" x14ac:dyDescent="0.25">
      <c r="B12" s="85" t="s">
        <v>174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T12" s="42"/>
      <c r="U12" s="91"/>
      <c r="V12" s="91"/>
      <c r="W12" s="91"/>
      <c r="X12" s="91"/>
    </row>
    <row r="13" spans="2:24" ht="15.95" customHeight="1" x14ac:dyDescent="0.25">
      <c r="B13" s="95" t="s">
        <v>175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T13" s="42"/>
      <c r="U13" s="91"/>
      <c r="V13" s="91"/>
      <c r="W13" s="91"/>
      <c r="X13" s="91"/>
    </row>
    <row r="14" spans="2:24" ht="15.95" customHeight="1" x14ac:dyDescent="0.25"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T14" s="42"/>
      <c r="U14" s="91"/>
      <c r="V14" s="91"/>
      <c r="W14" s="91"/>
      <c r="X14" s="91"/>
    </row>
    <row r="15" spans="2:24" ht="15.95" customHeight="1" x14ac:dyDescent="0.25">
      <c r="B15" s="4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T15" s="42"/>
      <c r="U15" s="91"/>
      <c r="V15" s="91"/>
      <c r="W15" s="91"/>
      <c r="X15" s="91"/>
    </row>
    <row r="16" spans="2:24" ht="15.95" customHeight="1" x14ac:dyDescent="0.25">
      <c r="B16" s="88" t="s">
        <v>171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T16" s="42"/>
      <c r="U16" s="91"/>
      <c r="V16" s="91"/>
      <c r="W16" s="91"/>
      <c r="X16" s="91"/>
    </row>
    <row r="17" spans="3:24" ht="15.95" customHeight="1" x14ac:dyDescent="0.25">
      <c r="C17" s="44"/>
      <c r="T17" s="42"/>
      <c r="U17" s="42"/>
      <c r="V17" s="42"/>
      <c r="W17" s="42"/>
      <c r="X17" s="42"/>
    </row>
    <row r="18" spans="3:24" ht="15.95" customHeight="1" x14ac:dyDescent="0.3">
      <c r="C18" s="44"/>
      <c r="D18" s="87"/>
      <c r="E18" s="87"/>
      <c r="F18" s="49"/>
    </row>
    <row r="19" spans="3:24" ht="15.95" customHeight="1" x14ac:dyDescent="0.25">
      <c r="C19" s="44"/>
      <c r="D19" s="89" t="s">
        <v>913</v>
      </c>
      <c r="E19" s="87"/>
    </row>
    <row r="20" spans="3:24" ht="15.95" customHeight="1" x14ac:dyDescent="0.25">
      <c r="D20" s="90"/>
      <c r="E20" s="48"/>
    </row>
    <row r="21" spans="3:24" ht="15.95" customHeight="1" x14ac:dyDescent="0.25">
      <c r="D21" s="89"/>
      <c r="E21" s="87"/>
    </row>
    <row r="22" spans="3:24" ht="15.95" customHeight="1" x14ac:dyDescent="0.25">
      <c r="D22" s="89" t="s">
        <v>914</v>
      </c>
      <c r="E22" s="87"/>
    </row>
    <row r="23" spans="3:24" ht="15.95" customHeight="1" x14ac:dyDescent="0.25">
      <c r="D23" s="89"/>
      <c r="E23" s="87"/>
    </row>
    <row r="24" spans="3:24" ht="15.95" customHeight="1" x14ac:dyDescent="0.25">
      <c r="D24" s="89"/>
      <c r="E24" s="87"/>
    </row>
    <row r="25" spans="3:24" ht="15.95" customHeight="1" x14ac:dyDescent="0.25">
      <c r="D25" s="89" t="s">
        <v>915</v>
      </c>
      <c r="E25" s="87"/>
    </row>
    <row r="26" spans="3:24" ht="15.95" customHeight="1" x14ac:dyDescent="0.25"/>
    <row r="27" spans="3:24" ht="15.95" customHeight="1" x14ac:dyDescent="0.25"/>
    <row r="28" spans="3:24" ht="15.95" customHeight="1" x14ac:dyDescent="0.25"/>
    <row r="29" spans="3:24" ht="15.95" customHeight="1" x14ac:dyDescent="0.25"/>
  </sheetData>
  <mergeCells count="6">
    <mergeCell ref="B13:R14"/>
    <mergeCell ref="B2:R4"/>
    <mergeCell ref="B5:R5"/>
    <mergeCell ref="B6:R6"/>
    <mergeCell ref="B7:R7"/>
    <mergeCell ref="B8:R8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81"/>
  <sheetViews>
    <sheetView showGridLines="0" showRowColHeaders="0" zoomScale="80" zoomScaleNormal="80" workbookViewId="0"/>
  </sheetViews>
  <sheetFormatPr defaultRowHeight="15" x14ac:dyDescent="0.25"/>
  <cols>
    <col min="1" max="1" width="54.7109375" customWidth="1"/>
    <col min="2" max="2" width="37.28515625" customWidth="1"/>
    <col min="3" max="3" width="22.5703125" customWidth="1"/>
    <col min="4" max="4" width="15.28515625" customWidth="1"/>
    <col min="6" max="6" width="33.28515625" style="10" customWidth="1"/>
    <col min="7" max="7" width="15" bestFit="1" customWidth="1"/>
    <col min="8" max="8" width="110.7109375" bestFit="1" customWidth="1"/>
  </cols>
  <sheetData>
    <row r="1" spans="1:9" s="7" customFormat="1" ht="32.25" customHeight="1" x14ac:dyDescent="0.35">
      <c r="A1" s="5" t="s">
        <v>138</v>
      </c>
      <c r="B1" s="5" t="s">
        <v>113</v>
      </c>
      <c r="C1" s="5"/>
      <c r="D1" s="5"/>
      <c r="F1" s="5" t="s">
        <v>131</v>
      </c>
      <c r="G1" s="5"/>
      <c r="H1" s="6"/>
      <c r="I1" s="25"/>
    </row>
    <row r="2" spans="1:9" ht="15" customHeight="1" x14ac:dyDescent="0.3">
      <c r="B2" s="29" t="s">
        <v>130</v>
      </c>
      <c r="C2" s="20"/>
      <c r="D2" s="18"/>
      <c r="F2" s="16" t="s">
        <v>155</v>
      </c>
      <c r="G2" s="15" t="s">
        <v>45</v>
      </c>
      <c r="H2" s="22" t="s">
        <v>44</v>
      </c>
      <c r="I2" s="18"/>
    </row>
    <row r="3" spans="1:9" ht="14.45" x14ac:dyDescent="0.3">
      <c r="B3" s="19" t="s">
        <v>125</v>
      </c>
      <c r="C3" s="20"/>
      <c r="D3" s="18"/>
      <c r="F3" s="17" t="s">
        <v>41</v>
      </c>
      <c r="G3" s="14" t="s">
        <v>46</v>
      </c>
      <c r="H3" s="23" t="s">
        <v>640</v>
      </c>
      <c r="I3" s="18"/>
    </row>
    <row r="4" spans="1:9" x14ac:dyDescent="0.25">
      <c r="B4" s="19" t="s">
        <v>128</v>
      </c>
      <c r="C4" s="21"/>
      <c r="D4" s="18"/>
      <c r="F4" s="17" t="s">
        <v>768</v>
      </c>
      <c r="G4" s="14" t="s">
        <v>46</v>
      </c>
      <c r="H4" s="23" t="s">
        <v>754</v>
      </c>
      <c r="I4" s="18"/>
    </row>
    <row r="5" spans="1:9" x14ac:dyDescent="0.25">
      <c r="B5" s="19" t="s">
        <v>126</v>
      </c>
      <c r="C5" s="21"/>
      <c r="D5" s="18"/>
      <c r="F5" s="17" t="s">
        <v>35</v>
      </c>
      <c r="G5" s="14" t="s">
        <v>46</v>
      </c>
      <c r="H5" s="23" t="s">
        <v>49</v>
      </c>
      <c r="I5" s="18"/>
    </row>
    <row r="6" spans="1:9" x14ac:dyDescent="0.25">
      <c r="B6" s="19" t="s">
        <v>127</v>
      </c>
      <c r="C6" s="21"/>
      <c r="D6" s="18"/>
      <c r="F6" s="17" t="s">
        <v>42</v>
      </c>
      <c r="G6" s="14" t="s">
        <v>46</v>
      </c>
      <c r="H6" s="23" t="s">
        <v>785</v>
      </c>
      <c r="I6" s="18"/>
    </row>
    <row r="7" spans="1:9" x14ac:dyDescent="0.25">
      <c r="B7" s="19" t="s">
        <v>129</v>
      </c>
      <c r="C7" s="21"/>
      <c r="D7" s="18"/>
      <c r="F7" s="17" t="s">
        <v>43</v>
      </c>
      <c r="G7" s="14" t="s">
        <v>46</v>
      </c>
      <c r="H7" s="23" t="s">
        <v>51</v>
      </c>
      <c r="I7" s="18"/>
    </row>
    <row r="8" spans="1:9" ht="14.45" customHeight="1" x14ac:dyDescent="0.25">
      <c r="B8" s="34"/>
      <c r="C8" s="34"/>
      <c r="D8" s="26"/>
      <c r="F8" s="17" t="s">
        <v>40</v>
      </c>
      <c r="G8" s="14" t="s">
        <v>46</v>
      </c>
      <c r="H8" s="23" t="s">
        <v>567</v>
      </c>
      <c r="I8" s="18"/>
    </row>
    <row r="9" spans="1:9" x14ac:dyDescent="0.25">
      <c r="B9" s="35"/>
      <c r="C9" s="36"/>
      <c r="D9" s="20"/>
      <c r="F9" s="17" t="s">
        <v>836</v>
      </c>
      <c r="G9" s="14" t="s">
        <v>46</v>
      </c>
      <c r="H9" s="23" t="s">
        <v>837</v>
      </c>
      <c r="I9" s="18"/>
    </row>
    <row r="10" spans="1:9" x14ac:dyDescent="0.25">
      <c r="B10" s="35"/>
      <c r="C10" s="36"/>
      <c r="D10" s="21"/>
      <c r="F10" s="17" t="s">
        <v>232</v>
      </c>
      <c r="G10" s="14" t="s">
        <v>46</v>
      </c>
      <c r="H10" s="23" t="s">
        <v>554</v>
      </c>
      <c r="I10" s="18"/>
    </row>
    <row r="11" spans="1:9" x14ac:dyDescent="0.25">
      <c r="B11" s="35"/>
      <c r="C11" s="36"/>
      <c r="D11" s="21"/>
      <c r="F11" s="17" t="s">
        <v>36</v>
      </c>
      <c r="G11" s="14" t="s">
        <v>46</v>
      </c>
      <c r="H11" s="23" t="s">
        <v>52</v>
      </c>
      <c r="I11" s="18"/>
    </row>
    <row r="12" spans="1:9" x14ac:dyDescent="0.25">
      <c r="A12" s="36"/>
      <c r="B12" s="35"/>
      <c r="C12" s="36"/>
      <c r="D12" s="21"/>
      <c r="F12" s="17" t="s">
        <v>39</v>
      </c>
      <c r="G12" s="14" t="s">
        <v>46</v>
      </c>
      <c r="H12" s="23" t="s">
        <v>641</v>
      </c>
      <c r="I12" s="18"/>
    </row>
    <row r="13" spans="1:9" x14ac:dyDescent="0.25">
      <c r="B13" s="35"/>
      <c r="C13" s="36"/>
      <c r="D13" s="21"/>
      <c r="F13" s="17" t="s">
        <v>37</v>
      </c>
      <c r="G13" s="14" t="s">
        <v>46</v>
      </c>
      <c r="H13" s="23" t="s">
        <v>53</v>
      </c>
      <c r="I13" s="18"/>
    </row>
    <row r="14" spans="1:9" x14ac:dyDescent="0.25">
      <c r="B14" s="35"/>
      <c r="C14" s="36"/>
      <c r="D14" s="18"/>
      <c r="F14" s="17" t="s">
        <v>38</v>
      </c>
      <c r="G14" s="14" t="s">
        <v>46</v>
      </c>
      <c r="H14" s="23" t="s">
        <v>54</v>
      </c>
      <c r="I14" s="18"/>
    </row>
    <row r="15" spans="1:9" x14ac:dyDescent="0.25">
      <c r="B15" s="35"/>
      <c r="C15" s="36"/>
      <c r="D15" s="18"/>
      <c r="F15" s="17" t="s">
        <v>847</v>
      </c>
      <c r="G15" s="14" t="s">
        <v>47</v>
      </c>
      <c r="H15" s="23" t="s">
        <v>848</v>
      </c>
      <c r="I15" s="18"/>
    </row>
    <row r="16" spans="1:9" x14ac:dyDescent="0.25">
      <c r="B16" s="35"/>
      <c r="C16" s="36"/>
      <c r="D16" s="18"/>
      <c r="F16" s="17" t="s">
        <v>2</v>
      </c>
      <c r="G16" s="14" t="s">
        <v>47</v>
      </c>
      <c r="H16" s="23" t="s">
        <v>56</v>
      </c>
      <c r="I16" s="18"/>
    </row>
    <row r="17" spans="2:9" x14ac:dyDescent="0.25">
      <c r="B17" s="35"/>
      <c r="C17" s="36"/>
      <c r="D17" s="18"/>
      <c r="F17" s="17" t="s">
        <v>325</v>
      </c>
      <c r="G17" s="14" t="s">
        <v>47</v>
      </c>
      <c r="H17" s="23" t="s">
        <v>539</v>
      </c>
      <c r="I17" s="18"/>
    </row>
    <row r="18" spans="2:9" x14ac:dyDescent="0.25">
      <c r="B18" s="35"/>
      <c r="C18" s="36"/>
      <c r="D18" s="18"/>
      <c r="F18" s="17" t="s">
        <v>3</v>
      </c>
      <c r="G18" s="14" t="s">
        <v>47</v>
      </c>
      <c r="H18" s="23" t="s">
        <v>55</v>
      </c>
      <c r="I18" s="18"/>
    </row>
    <row r="19" spans="2:9" x14ac:dyDescent="0.25">
      <c r="B19" s="35"/>
      <c r="C19" s="36"/>
      <c r="D19" s="18"/>
      <c r="F19" s="17" t="s">
        <v>4</v>
      </c>
      <c r="G19" s="14" t="s">
        <v>47</v>
      </c>
      <c r="H19" s="23" t="s">
        <v>771</v>
      </c>
      <c r="I19" s="18"/>
    </row>
    <row r="20" spans="2:9" x14ac:dyDescent="0.25">
      <c r="B20" s="35"/>
      <c r="C20" s="36"/>
      <c r="D20" s="18"/>
      <c r="F20" s="17" t="s">
        <v>5</v>
      </c>
      <c r="G20" s="14" t="s">
        <v>47</v>
      </c>
      <c r="H20" s="23" t="s">
        <v>772</v>
      </c>
      <c r="I20" s="18"/>
    </row>
    <row r="21" spans="2:9" x14ac:dyDescent="0.25">
      <c r="B21" s="35"/>
      <c r="C21" s="36"/>
      <c r="D21" s="18"/>
      <c r="F21" s="17" t="s">
        <v>849</v>
      </c>
      <c r="G21" s="14" t="s">
        <v>47</v>
      </c>
      <c r="H21" s="23" t="s">
        <v>850</v>
      </c>
      <c r="I21" s="18"/>
    </row>
    <row r="22" spans="2:9" x14ac:dyDescent="0.25">
      <c r="B22" s="35"/>
      <c r="C22" s="36"/>
      <c r="D22" s="18"/>
      <c r="F22" s="17" t="s">
        <v>6</v>
      </c>
      <c r="G22" s="14" t="s">
        <v>47</v>
      </c>
      <c r="H22" s="23" t="s">
        <v>57</v>
      </c>
      <c r="I22" s="18"/>
    </row>
    <row r="23" spans="2:9" x14ac:dyDescent="0.25">
      <c r="B23" s="35"/>
      <c r="C23" s="36"/>
      <c r="D23" s="18"/>
      <c r="F23" s="17" t="s">
        <v>7</v>
      </c>
      <c r="G23" s="14" t="s">
        <v>47</v>
      </c>
      <c r="H23" s="23" t="s">
        <v>58</v>
      </c>
      <c r="I23" s="18"/>
    </row>
    <row r="24" spans="2:9" x14ac:dyDescent="0.25">
      <c r="B24" s="35"/>
      <c r="D24" s="18"/>
      <c r="F24" s="17" t="s">
        <v>8</v>
      </c>
      <c r="G24" s="14" t="s">
        <v>47</v>
      </c>
      <c r="H24" s="23" t="s">
        <v>59</v>
      </c>
      <c r="I24" s="18"/>
    </row>
    <row r="25" spans="2:9" x14ac:dyDescent="0.25">
      <c r="B25" s="35"/>
      <c r="C25" s="36"/>
      <c r="D25" s="18"/>
      <c r="F25" s="17" t="s">
        <v>34</v>
      </c>
      <c r="G25" s="14" t="s">
        <v>47</v>
      </c>
      <c r="H25" s="23" t="s">
        <v>60</v>
      </c>
      <c r="I25" s="18"/>
    </row>
    <row r="26" spans="2:9" x14ac:dyDescent="0.25">
      <c r="B26" s="35"/>
      <c r="C26" s="36"/>
      <c r="D26" s="18"/>
      <c r="F26" s="17" t="s">
        <v>9</v>
      </c>
      <c r="G26" s="14" t="s">
        <v>47</v>
      </c>
      <c r="H26" s="23" t="s">
        <v>61</v>
      </c>
      <c r="I26" s="18"/>
    </row>
    <row r="27" spans="2:9" x14ac:dyDescent="0.25">
      <c r="B27" s="35"/>
      <c r="C27" s="37"/>
      <c r="D27" s="18"/>
      <c r="F27" s="17" t="s">
        <v>851</v>
      </c>
      <c r="G27" s="14" t="s">
        <v>47</v>
      </c>
      <c r="H27" s="23" t="s">
        <v>855</v>
      </c>
      <c r="I27" s="18"/>
    </row>
    <row r="28" spans="2:9" x14ac:dyDescent="0.25">
      <c r="B28" s="35"/>
      <c r="C28" s="36"/>
      <c r="D28" s="18"/>
      <c r="F28" s="17" t="s">
        <v>10</v>
      </c>
      <c r="G28" s="13" t="s">
        <v>47</v>
      </c>
      <c r="H28" s="24" t="s">
        <v>856</v>
      </c>
      <c r="I28" s="18"/>
    </row>
    <row r="29" spans="2:9" x14ac:dyDescent="0.25">
      <c r="B29" s="35"/>
      <c r="C29" s="36"/>
      <c r="D29" s="18"/>
      <c r="F29" s="17" t="s">
        <v>852</v>
      </c>
      <c r="G29" s="13" t="s">
        <v>47</v>
      </c>
      <c r="H29" s="24" t="s">
        <v>857</v>
      </c>
      <c r="I29" s="18"/>
    </row>
    <row r="30" spans="2:9" x14ac:dyDescent="0.25">
      <c r="B30" s="35"/>
      <c r="C30" s="36"/>
      <c r="D30" s="18"/>
      <c r="F30" s="17" t="s">
        <v>853</v>
      </c>
      <c r="G30" s="13" t="s">
        <v>47</v>
      </c>
      <c r="H30" s="24" t="s">
        <v>858</v>
      </c>
      <c r="I30" s="18"/>
    </row>
    <row r="31" spans="2:9" x14ac:dyDescent="0.25">
      <c r="B31" s="35"/>
      <c r="C31" s="36"/>
      <c r="D31" s="18"/>
      <c r="F31" s="17" t="s">
        <v>11</v>
      </c>
      <c r="G31" s="13" t="s">
        <v>47</v>
      </c>
      <c r="H31" s="24" t="s">
        <v>859</v>
      </c>
      <c r="I31" s="18"/>
    </row>
    <row r="32" spans="2:9" x14ac:dyDescent="0.25">
      <c r="B32" s="35"/>
      <c r="C32" s="36"/>
      <c r="D32" s="18"/>
      <c r="F32" s="17" t="s">
        <v>854</v>
      </c>
      <c r="G32" s="13" t="s">
        <v>47</v>
      </c>
      <c r="H32" s="24" t="s">
        <v>860</v>
      </c>
      <c r="I32" s="18"/>
    </row>
    <row r="33" spans="2:9" x14ac:dyDescent="0.25">
      <c r="B33" s="35"/>
      <c r="C33" s="36"/>
      <c r="D33" s="28"/>
      <c r="F33" s="17" t="s">
        <v>12</v>
      </c>
      <c r="G33" s="13" t="s">
        <v>47</v>
      </c>
      <c r="H33" s="24" t="s">
        <v>62</v>
      </c>
      <c r="I33" s="18"/>
    </row>
    <row r="34" spans="2:9" x14ac:dyDescent="0.25">
      <c r="B34" s="35"/>
      <c r="C34" s="36"/>
      <c r="D34" s="18"/>
      <c r="F34" s="17" t="s">
        <v>15</v>
      </c>
      <c r="G34" s="13" t="s">
        <v>47</v>
      </c>
      <c r="H34" s="24" t="s">
        <v>679</v>
      </c>
      <c r="I34" s="18"/>
    </row>
    <row r="35" spans="2:9" x14ac:dyDescent="0.25">
      <c r="B35" s="35"/>
      <c r="C35" s="36"/>
      <c r="D35" s="18"/>
      <c r="F35" s="17" t="s">
        <v>13</v>
      </c>
      <c r="G35" s="13" t="s">
        <v>47</v>
      </c>
      <c r="H35" s="24" t="s">
        <v>773</v>
      </c>
      <c r="I35" s="18"/>
    </row>
    <row r="36" spans="2:9" x14ac:dyDescent="0.25">
      <c r="B36" s="35"/>
      <c r="C36" s="36"/>
      <c r="D36" s="18"/>
      <c r="F36" s="17" t="s">
        <v>14</v>
      </c>
      <c r="G36" s="13" t="s">
        <v>47</v>
      </c>
      <c r="H36" s="24" t="s">
        <v>770</v>
      </c>
      <c r="I36" s="18"/>
    </row>
    <row r="37" spans="2:9" x14ac:dyDescent="0.25">
      <c r="B37" s="35"/>
      <c r="C37" s="36"/>
      <c r="D37" s="18"/>
      <c r="F37" s="17" t="s">
        <v>16</v>
      </c>
      <c r="G37" s="13" t="s">
        <v>47</v>
      </c>
      <c r="H37" s="24" t="s">
        <v>642</v>
      </c>
      <c r="I37" s="18"/>
    </row>
    <row r="38" spans="2:9" x14ac:dyDescent="0.25">
      <c r="B38" s="35"/>
      <c r="C38" s="36"/>
      <c r="D38" s="18"/>
      <c r="F38" s="17" t="s">
        <v>29</v>
      </c>
      <c r="G38" s="13" t="s">
        <v>47</v>
      </c>
      <c r="H38" s="24" t="s">
        <v>63</v>
      </c>
      <c r="I38" s="18"/>
    </row>
    <row r="39" spans="2:9" x14ac:dyDescent="0.25">
      <c r="B39" s="35"/>
      <c r="C39" s="36"/>
      <c r="D39" s="18"/>
      <c r="F39" s="17" t="s">
        <v>879</v>
      </c>
      <c r="G39" s="13" t="s">
        <v>47</v>
      </c>
      <c r="H39" s="24" t="s">
        <v>880</v>
      </c>
      <c r="I39" s="18"/>
    </row>
    <row r="40" spans="2:9" x14ac:dyDescent="0.25">
      <c r="B40" s="35"/>
      <c r="C40" s="36"/>
      <c r="D40" s="18"/>
      <c r="F40" s="17" t="s">
        <v>30</v>
      </c>
      <c r="G40" s="13" t="s">
        <v>47</v>
      </c>
      <c r="H40" s="24" t="s">
        <v>64</v>
      </c>
      <c r="I40" s="18"/>
    </row>
    <row r="41" spans="2:9" x14ac:dyDescent="0.25">
      <c r="B41" s="35"/>
      <c r="C41" s="36"/>
      <c r="D41" s="18"/>
      <c r="F41" s="17" t="s">
        <v>26</v>
      </c>
      <c r="G41" s="13" t="s">
        <v>47</v>
      </c>
      <c r="H41" s="24" t="s">
        <v>65</v>
      </c>
      <c r="I41" s="18"/>
    </row>
    <row r="42" spans="2:9" x14ac:dyDescent="0.25">
      <c r="B42" s="35"/>
      <c r="C42" s="36"/>
      <c r="D42" s="18"/>
      <c r="F42" s="17" t="s">
        <v>18</v>
      </c>
      <c r="G42" s="13" t="s">
        <v>47</v>
      </c>
      <c r="H42" s="24" t="s">
        <v>66</v>
      </c>
      <c r="I42" s="18"/>
    </row>
    <row r="43" spans="2:9" x14ac:dyDescent="0.25">
      <c r="B43" s="35"/>
      <c r="C43" s="36"/>
      <c r="D43" s="18"/>
      <c r="F43" s="17" t="s">
        <v>17</v>
      </c>
      <c r="G43" s="13" t="s">
        <v>47</v>
      </c>
      <c r="H43" s="24" t="s">
        <v>67</v>
      </c>
      <c r="I43" s="18"/>
    </row>
    <row r="44" spans="2:9" x14ac:dyDescent="0.25">
      <c r="B44" s="35"/>
      <c r="C44" s="36"/>
      <c r="D44" s="18"/>
      <c r="F44" s="17" t="s">
        <v>885</v>
      </c>
      <c r="G44" s="13" t="s">
        <v>47</v>
      </c>
      <c r="H44" s="24" t="s">
        <v>881</v>
      </c>
      <c r="I44" s="18"/>
    </row>
    <row r="45" spans="2:9" x14ac:dyDescent="0.25">
      <c r="B45" s="35"/>
      <c r="C45" s="36"/>
      <c r="D45" s="18"/>
      <c r="F45" s="17" t="s">
        <v>886</v>
      </c>
      <c r="G45" s="13" t="s">
        <v>47</v>
      </c>
      <c r="H45" s="24" t="s">
        <v>882</v>
      </c>
      <c r="I45" s="18"/>
    </row>
    <row r="46" spans="2:9" x14ac:dyDescent="0.25">
      <c r="B46" s="35"/>
      <c r="C46" s="37"/>
      <c r="D46" s="18"/>
      <c r="F46" s="17" t="s">
        <v>887</v>
      </c>
      <c r="G46" s="13" t="s">
        <v>47</v>
      </c>
      <c r="H46" s="24" t="s">
        <v>883</v>
      </c>
      <c r="I46" s="18"/>
    </row>
    <row r="47" spans="2:9" x14ac:dyDescent="0.25">
      <c r="B47" s="35"/>
      <c r="C47" s="36"/>
      <c r="D47" s="18"/>
      <c r="F47" s="17" t="s">
        <v>888</v>
      </c>
      <c r="G47" s="13" t="s">
        <v>47</v>
      </c>
      <c r="H47" s="24" t="s">
        <v>884</v>
      </c>
      <c r="I47" s="18"/>
    </row>
    <row r="48" spans="2:9" x14ac:dyDescent="0.25">
      <c r="B48" s="35"/>
      <c r="C48" s="36"/>
      <c r="D48" s="18"/>
      <c r="F48" s="17" t="s">
        <v>23</v>
      </c>
      <c r="G48" s="13" t="s">
        <v>47</v>
      </c>
      <c r="H48" s="24" t="s">
        <v>68</v>
      </c>
      <c r="I48" s="18"/>
    </row>
    <row r="49" spans="2:9" x14ac:dyDescent="0.25">
      <c r="B49" s="35"/>
      <c r="C49" s="36"/>
      <c r="D49" s="18"/>
      <c r="F49" s="17" t="s">
        <v>889</v>
      </c>
      <c r="G49" s="13" t="s">
        <v>47</v>
      </c>
      <c r="H49" s="24" t="s">
        <v>890</v>
      </c>
      <c r="I49" s="18"/>
    </row>
    <row r="50" spans="2:9" x14ac:dyDescent="0.25">
      <c r="B50" s="35"/>
      <c r="C50" s="36"/>
      <c r="D50" s="18"/>
      <c r="F50" s="17" t="s">
        <v>32</v>
      </c>
      <c r="G50" s="13" t="s">
        <v>47</v>
      </c>
      <c r="H50" s="24" t="s">
        <v>69</v>
      </c>
      <c r="I50" s="18"/>
    </row>
    <row r="51" spans="2:9" x14ac:dyDescent="0.25">
      <c r="B51" s="35"/>
      <c r="C51" s="36"/>
      <c r="D51" s="18"/>
      <c r="F51" s="17" t="s">
        <v>563</v>
      </c>
      <c r="G51" s="13" t="s">
        <v>47</v>
      </c>
      <c r="H51" s="24" t="s">
        <v>774</v>
      </c>
      <c r="I51" s="18"/>
    </row>
    <row r="52" spans="2:9" x14ac:dyDescent="0.25">
      <c r="B52" s="35"/>
      <c r="C52" s="36"/>
      <c r="D52" s="28"/>
      <c r="F52" s="17" t="s">
        <v>21</v>
      </c>
      <c r="G52" s="13" t="s">
        <v>47</v>
      </c>
      <c r="H52" s="24" t="s">
        <v>775</v>
      </c>
      <c r="I52" s="18"/>
    </row>
    <row r="53" spans="2:9" x14ac:dyDescent="0.25">
      <c r="B53" s="35"/>
      <c r="C53" s="36"/>
      <c r="D53" s="18"/>
      <c r="F53" s="17" t="s">
        <v>22</v>
      </c>
      <c r="G53" s="13" t="s">
        <v>47</v>
      </c>
      <c r="H53" s="24" t="s">
        <v>776</v>
      </c>
      <c r="I53" s="18"/>
    </row>
    <row r="54" spans="2:9" x14ac:dyDescent="0.25">
      <c r="B54" s="35"/>
      <c r="C54" s="36"/>
      <c r="D54" s="18"/>
      <c r="F54" s="17" t="s">
        <v>891</v>
      </c>
      <c r="G54" s="13" t="s">
        <v>47</v>
      </c>
      <c r="H54" s="24" t="s">
        <v>892</v>
      </c>
      <c r="I54" s="18"/>
    </row>
    <row r="55" spans="2:9" x14ac:dyDescent="0.25">
      <c r="B55" s="35"/>
      <c r="C55" s="36"/>
      <c r="D55" s="18"/>
      <c r="F55" s="17" t="s">
        <v>564</v>
      </c>
      <c r="G55" s="13" t="s">
        <v>47</v>
      </c>
      <c r="H55" s="24" t="s">
        <v>570</v>
      </c>
      <c r="I55" s="18"/>
    </row>
    <row r="56" spans="2:9" x14ac:dyDescent="0.25">
      <c r="B56" s="35"/>
      <c r="C56" s="36"/>
      <c r="D56" s="18"/>
      <c r="F56" s="17" t="s">
        <v>19</v>
      </c>
      <c r="G56" s="13" t="s">
        <v>47</v>
      </c>
      <c r="H56" s="24" t="s">
        <v>139</v>
      </c>
      <c r="I56" s="18"/>
    </row>
    <row r="57" spans="2:9" x14ac:dyDescent="0.25">
      <c r="B57" s="35"/>
      <c r="C57" s="36"/>
      <c r="D57" s="18"/>
      <c r="F57" s="17" t="s">
        <v>20</v>
      </c>
      <c r="G57" s="13" t="s">
        <v>47</v>
      </c>
      <c r="H57" s="24" t="s">
        <v>140</v>
      </c>
      <c r="I57" s="18"/>
    </row>
    <row r="58" spans="2:9" x14ac:dyDescent="0.25">
      <c r="B58" s="35"/>
      <c r="C58" s="36"/>
      <c r="D58" s="18"/>
      <c r="F58" s="17" t="s">
        <v>28</v>
      </c>
      <c r="G58" s="13" t="s">
        <v>47</v>
      </c>
      <c r="H58" s="24" t="s">
        <v>643</v>
      </c>
      <c r="I58" s="18"/>
    </row>
    <row r="59" spans="2:9" x14ac:dyDescent="0.25">
      <c r="B59" s="35"/>
      <c r="C59" s="36"/>
      <c r="D59" s="18"/>
      <c r="F59" s="17" t="s">
        <v>24</v>
      </c>
      <c r="G59" s="13" t="s">
        <v>47</v>
      </c>
      <c r="H59" s="24" t="s">
        <v>70</v>
      </c>
      <c r="I59" s="18"/>
    </row>
    <row r="60" spans="2:9" x14ac:dyDescent="0.25">
      <c r="B60" s="35"/>
      <c r="C60" s="36"/>
      <c r="D60" s="18"/>
      <c r="F60" s="17" t="s">
        <v>25</v>
      </c>
      <c r="G60" s="13" t="s">
        <v>47</v>
      </c>
      <c r="H60" s="24" t="s">
        <v>71</v>
      </c>
      <c r="I60" s="18"/>
    </row>
    <row r="61" spans="2:9" x14ac:dyDescent="0.25">
      <c r="B61" s="35"/>
      <c r="C61" s="36"/>
      <c r="D61" s="18"/>
      <c r="F61" s="17" t="s">
        <v>27</v>
      </c>
      <c r="G61" s="13" t="s">
        <v>47</v>
      </c>
      <c r="H61" s="24" t="s">
        <v>72</v>
      </c>
      <c r="I61" s="18"/>
    </row>
    <row r="62" spans="2:9" x14ac:dyDescent="0.25">
      <c r="B62" s="35"/>
      <c r="C62" s="36"/>
      <c r="D62" s="18"/>
      <c r="F62" s="17" t="s">
        <v>31</v>
      </c>
      <c r="G62" s="13" t="s">
        <v>141</v>
      </c>
      <c r="H62" s="24" t="s">
        <v>638</v>
      </c>
      <c r="I62" s="18"/>
    </row>
    <row r="63" spans="2:9" x14ac:dyDescent="0.25">
      <c r="B63" s="35"/>
      <c r="C63" s="36"/>
      <c r="D63" s="18"/>
      <c r="F63" s="17" t="s">
        <v>894</v>
      </c>
      <c r="G63" s="13" t="s">
        <v>141</v>
      </c>
      <c r="H63" s="24" t="s">
        <v>893</v>
      </c>
      <c r="I63" s="18"/>
    </row>
    <row r="64" spans="2:9" x14ac:dyDescent="0.25">
      <c r="B64" s="35"/>
      <c r="C64" s="36"/>
      <c r="D64" s="18"/>
      <c r="F64" s="77" t="s">
        <v>33</v>
      </c>
      <c r="G64" s="78" t="s">
        <v>141</v>
      </c>
      <c r="H64" s="79" t="s">
        <v>639</v>
      </c>
      <c r="I64" s="18"/>
    </row>
    <row r="65" spans="2:9" x14ac:dyDescent="0.25">
      <c r="B65" s="35"/>
      <c r="C65" s="37"/>
      <c r="D65" s="18"/>
      <c r="F65" s="65" t="s">
        <v>753</v>
      </c>
      <c r="G65" s="60" t="s">
        <v>47</v>
      </c>
      <c r="H65" s="60" t="s">
        <v>754</v>
      </c>
      <c r="I65" s="18"/>
    </row>
    <row r="66" spans="2:9" x14ac:dyDescent="0.25">
      <c r="B66" s="35"/>
      <c r="C66" s="36"/>
      <c r="D66" s="18"/>
      <c r="F66" s="65" t="s">
        <v>505</v>
      </c>
      <c r="G66" s="60" t="s">
        <v>561</v>
      </c>
      <c r="H66" s="60" t="s">
        <v>644</v>
      </c>
      <c r="I66" s="18"/>
    </row>
    <row r="67" spans="2:9" x14ac:dyDescent="0.25">
      <c r="B67" s="35"/>
      <c r="C67" s="36"/>
      <c r="D67" s="18"/>
      <c r="F67" s="65" t="s">
        <v>490</v>
      </c>
      <c r="G67" s="60" t="s">
        <v>561</v>
      </c>
      <c r="H67" s="60" t="s">
        <v>645</v>
      </c>
      <c r="I67" s="18"/>
    </row>
    <row r="68" spans="2:9" x14ac:dyDescent="0.25">
      <c r="B68" s="35"/>
      <c r="C68" s="36"/>
      <c r="D68" s="18"/>
      <c r="F68" s="65" t="s">
        <v>509</v>
      </c>
      <c r="G68" s="60" t="s">
        <v>561</v>
      </c>
      <c r="H68" s="60" t="s">
        <v>646</v>
      </c>
      <c r="I68" s="18"/>
    </row>
    <row r="69" spans="2:9" x14ac:dyDescent="0.25">
      <c r="B69" s="35"/>
      <c r="C69" s="36"/>
      <c r="D69" s="18"/>
      <c r="F69" s="65" t="s">
        <v>510</v>
      </c>
      <c r="G69" s="60" t="s">
        <v>561</v>
      </c>
      <c r="H69" s="60" t="s">
        <v>647</v>
      </c>
      <c r="I69" s="18"/>
    </row>
    <row r="70" spans="2:9" x14ac:dyDescent="0.25">
      <c r="B70" s="35"/>
      <c r="C70" s="36"/>
      <c r="D70" s="18"/>
      <c r="F70" s="65" t="s">
        <v>506</v>
      </c>
      <c r="G70" s="60" t="s">
        <v>561</v>
      </c>
      <c r="H70" s="60" t="s">
        <v>648</v>
      </c>
      <c r="I70" s="18"/>
    </row>
    <row r="71" spans="2:9" x14ac:dyDescent="0.25">
      <c r="B71" s="35"/>
      <c r="C71" s="36"/>
      <c r="D71" s="28"/>
      <c r="F71" s="65" t="s">
        <v>507</v>
      </c>
      <c r="G71" s="60" t="s">
        <v>561</v>
      </c>
      <c r="H71" s="60" t="s">
        <v>649</v>
      </c>
      <c r="I71" s="18"/>
    </row>
    <row r="72" spans="2:9" x14ac:dyDescent="0.25">
      <c r="B72" s="35"/>
      <c r="C72" s="36"/>
      <c r="D72" s="18"/>
      <c r="F72" s="65" t="s">
        <v>508</v>
      </c>
      <c r="G72" s="60" t="s">
        <v>561</v>
      </c>
      <c r="H72" s="60" t="s">
        <v>650</v>
      </c>
      <c r="I72" s="18"/>
    </row>
    <row r="73" spans="2:9" x14ac:dyDescent="0.25">
      <c r="B73" s="35"/>
      <c r="C73" s="36"/>
      <c r="D73" s="18"/>
      <c r="F73" s="65" t="s">
        <v>489</v>
      </c>
      <c r="G73" s="60" t="s">
        <v>561</v>
      </c>
      <c r="H73" s="60" t="s">
        <v>651</v>
      </c>
      <c r="I73" s="18"/>
    </row>
    <row r="74" spans="2:9" x14ac:dyDescent="0.25">
      <c r="B74" s="35"/>
      <c r="C74" s="36"/>
      <c r="D74" s="18"/>
      <c r="F74" s="65" t="s">
        <v>495</v>
      </c>
      <c r="G74" s="60" t="s">
        <v>561</v>
      </c>
      <c r="H74" s="60" t="s">
        <v>652</v>
      </c>
      <c r="I74" s="18"/>
    </row>
    <row r="75" spans="2:9" x14ac:dyDescent="0.25">
      <c r="B75" s="35"/>
      <c r="C75" s="36"/>
      <c r="D75" s="18"/>
      <c r="F75" s="65" t="s">
        <v>525</v>
      </c>
      <c r="G75" s="60" t="s">
        <v>561</v>
      </c>
      <c r="H75" s="60" t="s">
        <v>673</v>
      </c>
      <c r="I75" s="18"/>
    </row>
    <row r="76" spans="2:9" x14ac:dyDescent="0.25">
      <c r="B76" s="35"/>
      <c r="C76" s="36"/>
      <c r="D76" s="18"/>
      <c r="F76" s="65" t="s">
        <v>523</v>
      </c>
      <c r="G76" s="60" t="s">
        <v>561</v>
      </c>
      <c r="H76" s="60" t="s">
        <v>653</v>
      </c>
      <c r="I76" s="18"/>
    </row>
    <row r="77" spans="2:9" x14ac:dyDescent="0.25">
      <c r="B77" s="35"/>
      <c r="C77" s="36"/>
      <c r="D77" s="18"/>
      <c r="F77" s="65" t="s">
        <v>524</v>
      </c>
      <c r="G77" s="60" t="s">
        <v>561</v>
      </c>
      <c r="H77" s="60" t="s">
        <v>654</v>
      </c>
      <c r="I77" s="18"/>
    </row>
    <row r="78" spans="2:9" x14ac:dyDescent="0.25">
      <c r="B78" s="35"/>
      <c r="C78" s="36"/>
      <c r="D78" s="18"/>
      <c r="F78" s="65" t="s">
        <v>487</v>
      </c>
      <c r="G78" s="60" t="s">
        <v>561</v>
      </c>
      <c r="H78" s="60" t="s">
        <v>655</v>
      </c>
      <c r="I78" s="18"/>
    </row>
    <row r="79" spans="2:9" x14ac:dyDescent="0.25">
      <c r="B79" s="35"/>
      <c r="C79" s="36"/>
      <c r="D79" s="18"/>
      <c r="F79" s="65" t="s">
        <v>866</v>
      </c>
      <c r="G79" s="60" t="s">
        <v>561</v>
      </c>
      <c r="H79" s="60" t="s">
        <v>871</v>
      </c>
      <c r="I79" s="18"/>
    </row>
    <row r="80" spans="2:9" x14ac:dyDescent="0.25">
      <c r="B80" s="35"/>
      <c r="C80" s="36"/>
      <c r="D80" s="18"/>
      <c r="F80" s="65" t="s">
        <v>867</v>
      </c>
      <c r="G80" s="60" t="s">
        <v>561</v>
      </c>
      <c r="H80" s="60" t="s">
        <v>872</v>
      </c>
      <c r="I80" s="18"/>
    </row>
    <row r="81" spans="2:9" x14ac:dyDescent="0.25">
      <c r="B81" s="35"/>
      <c r="C81" s="36"/>
      <c r="D81" s="18"/>
      <c r="F81" s="65" t="s">
        <v>868</v>
      </c>
      <c r="G81" s="60" t="s">
        <v>561</v>
      </c>
      <c r="H81" s="60" t="s">
        <v>873</v>
      </c>
      <c r="I81" s="18"/>
    </row>
    <row r="82" spans="2:9" x14ac:dyDescent="0.25">
      <c r="B82" s="35"/>
      <c r="C82" s="36"/>
      <c r="D82" s="18"/>
      <c r="F82" s="65" t="s">
        <v>527</v>
      </c>
      <c r="G82" s="60" t="s">
        <v>561</v>
      </c>
      <c r="H82" s="60" t="s">
        <v>656</v>
      </c>
      <c r="I82" s="18"/>
    </row>
    <row r="83" spans="2:9" x14ac:dyDescent="0.25">
      <c r="B83" s="35"/>
      <c r="C83" s="36"/>
      <c r="D83" s="18"/>
      <c r="F83" s="65" t="s">
        <v>865</v>
      </c>
      <c r="G83" s="60" t="s">
        <v>561</v>
      </c>
      <c r="H83" s="60" t="s">
        <v>874</v>
      </c>
      <c r="I83" s="18"/>
    </row>
    <row r="84" spans="2:9" x14ac:dyDescent="0.25">
      <c r="B84" s="35"/>
      <c r="C84" s="37"/>
      <c r="D84" s="18"/>
      <c r="F84" s="65" t="s">
        <v>520</v>
      </c>
      <c r="G84" s="60" t="s">
        <v>561</v>
      </c>
      <c r="H84" s="60" t="s">
        <v>674</v>
      </c>
      <c r="I84" s="18"/>
    </row>
    <row r="85" spans="2:9" x14ac:dyDescent="0.25">
      <c r="B85" s="35"/>
      <c r="C85" s="36"/>
      <c r="D85" s="18"/>
      <c r="F85" s="65" t="s">
        <v>526</v>
      </c>
      <c r="G85" s="60" t="s">
        <v>561</v>
      </c>
      <c r="H85" s="60" t="s">
        <v>657</v>
      </c>
      <c r="I85" s="18"/>
    </row>
    <row r="86" spans="2:9" x14ac:dyDescent="0.25">
      <c r="B86" s="35"/>
      <c r="C86" s="36"/>
      <c r="D86" s="18"/>
      <c r="F86" s="65" t="s">
        <v>578</v>
      </c>
      <c r="G86" s="60" t="s">
        <v>561</v>
      </c>
      <c r="H86" s="60" t="s">
        <v>675</v>
      </c>
      <c r="I86" s="18"/>
    </row>
    <row r="87" spans="2:9" x14ac:dyDescent="0.25">
      <c r="B87" s="35"/>
      <c r="C87" s="36"/>
      <c r="D87" s="18"/>
      <c r="F87" s="65" t="s">
        <v>522</v>
      </c>
      <c r="G87" s="60" t="s">
        <v>561</v>
      </c>
      <c r="H87" s="60" t="s">
        <v>658</v>
      </c>
      <c r="I87" s="18"/>
    </row>
    <row r="88" spans="2:9" x14ac:dyDescent="0.25">
      <c r="B88" s="35"/>
      <c r="C88" s="36"/>
      <c r="D88" s="18"/>
      <c r="F88" s="65" t="s">
        <v>519</v>
      </c>
      <c r="G88" s="60" t="s">
        <v>561</v>
      </c>
      <c r="H88" s="60" t="s">
        <v>659</v>
      </c>
      <c r="I88" s="18"/>
    </row>
    <row r="89" spans="2:9" x14ac:dyDescent="0.25">
      <c r="B89" s="35"/>
      <c r="C89" s="36"/>
      <c r="D89" s="18"/>
      <c r="F89" s="65" t="s">
        <v>521</v>
      </c>
      <c r="G89" s="60" t="s">
        <v>561</v>
      </c>
      <c r="H89" s="60" t="s">
        <v>660</v>
      </c>
      <c r="I89" s="18"/>
    </row>
    <row r="90" spans="2:9" x14ac:dyDescent="0.25">
      <c r="B90" s="35"/>
      <c r="C90" s="36"/>
      <c r="D90" s="28"/>
      <c r="F90" s="65" t="s">
        <v>515</v>
      </c>
      <c r="G90" s="60" t="s">
        <v>561</v>
      </c>
      <c r="H90" s="60" t="s">
        <v>661</v>
      </c>
      <c r="I90" s="18"/>
    </row>
    <row r="91" spans="2:9" x14ac:dyDescent="0.25">
      <c r="B91" s="35"/>
      <c r="C91" s="36"/>
      <c r="D91" s="18"/>
      <c r="F91" s="65" t="s">
        <v>518</v>
      </c>
      <c r="G91" s="60" t="s">
        <v>561</v>
      </c>
      <c r="H91" s="60" t="s">
        <v>676</v>
      </c>
    </row>
    <row r="92" spans="2:9" x14ac:dyDescent="0.25">
      <c r="B92" s="35"/>
      <c r="C92" s="36"/>
      <c r="D92" s="18"/>
      <c r="F92" s="65" t="s">
        <v>869</v>
      </c>
      <c r="G92" s="60" t="s">
        <v>561</v>
      </c>
      <c r="H92" s="60" t="s">
        <v>875</v>
      </c>
    </row>
    <row r="93" spans="2:9" x14ac:dyDescent="0.25">
      <c r="B93" s="35"/>
      <c r="C93" s="36"/>
      <c r="D93" s="18"/>
      <c r="F93" s="65" t="s">
        <v>516</v>
      </c>
      <c r="G93" s="60" t="s">
        <v>561</v>
      </c>
      <c r="H93" s="60" t="s">
        <v>662</v>
      </c>
    </row>
    <row r="94" spans="2:9" x14ac:dyDescent="0.25">
      <c r="B94" s="35"/>
      <c r="C94" s="36"/>
      <c r="D94" s="18"/>
      <c r="F94" s="65" t="s">
        <v>517</v>
      </c>
      <c r="G94" s="60" t="s">
        <v>561</v>
      </c>
      <c r="H94" s="60" t="s">
        <v>663</v>
      </c>
    </row>
    <row r="95" spans="2:9" x14ac:dyDescent="0.25">
      <c r="B95" s="35"/>
      <c r="C95" s="36"/>
      <c r="D95" s="18"/>
      <c r="F95" s="93" t="s">
        <v>870</v>
      </c>
      <c r="G95" s="60" t="s">
        <v>561</v>
      </c>
      <c r="H95" s="60" t="s">
        <v>876</v>
      </c>
    </row>
    <row r="96" spans="2:9" x14ac:dyDescent="0.25">
      <c r="B96" s="35"/>
      <c r="C96" s="36"/>
      <c r="D96" s="18"/>
      <c r="F96" s="65" t="s">
        <v>511</v>
      </c>
      <c r="G96" s="60" t="s">
        <v>561</v>
      </c>
      <c r="H96" s="60" t="s">
        <v>664</v>
      </c>
    </row>
    <row r="97" spans="2:8" x14ac:dyDescent="0.25">
      <c r="B97" s="35"/>
      <c r="C97" s="36"/>
      <c r="D97" s="18"/>
      <c r="F97" s="65" t="s">
        <v>514</v>
      </c>
      <c r="G97" s="60" t="s">
        <v>561</v>
      </c>
      <c r="H97" s="60" t="s">
        <v>677</v>
      </c>
    </row>
    <row r="98" spans="2:8" x14ac:dyDescent="0.25">
      <c r="B98" s="35"/>
      <c r="C98" s="36"/>
      <c r="D98" s="18"/>
      <c r="F98" s="65" t="s">
        <v>877</v>
      </c>
      <c r="G98" s="60" t="s">
        <v>561</v>
      </c>
      <c r="H98" s="60" t="s">
        <v>878</v>
      </c>
    </row>
    <row r="99" spans="2:8" x14ac:dyDescent="0.25">
      <c r="B99" s="35"/>
      <c r="C99" s="36"/>
      <c r="D99" s="18"/>
      <c r="F99" s="65" t="s">
        <v>512</v>
      </c>
      <c r="G99" s="60" t="s">
        <v>561</v>
      </c>
      <c r="H99" s="60" t="s">
        <v>665</v>
      </c>
    </row>
    <row r="100" spans="2:8" x14ac:dyDescent="0.25">
      <c r="B100" s="35"/>
      <c r="C100" s="36"/>
      <c r="D100" s="18"/>
      <c r="F100" s="65" t="s">
        <v>513</v>
      </c>
      <c r="G100" s="60" t="s">
        <v>561</v>
      </c>
      <c r="H100" s="60" t="s">
        <v>666</v>
      </c>
    </row>
    <row r="101" spans="2:8" x14ac:dyDescent="0.25">
      <c r="B101" s="35"/>
      <c r="C101" s="36"/>
      <c r="D101" s="18"/>
      <c r="F101" s="65" t="s">
        <v>503</v>
      </c>
      <c r="G101" s="60" t="s">
        <v>561</v>
      </c>
      <c r="H101" s="60" t="s">
        <v>678</v>
      </c>
    </row>
    <row r="102" spans="2:8" x14ac:dyDescent="0.25">
      <c r="B102" s="35"/>
      <c r="C102" s="36"/>
      <c r="D102" s="18"/>
      <c r="F102" s="65" t="s">
        <v>504</v>
      </c>
      <c r="G102" s="60" t="s">
        <v>561</v>
      </c>
      <c r="H102" s="60" t="s">
        <v>680</v>
      </c>
    </row>
    <row r="103" spans="2:8" x14ac:dyDescent="0.25">
      <c r="B103" s="35"/>
      <c r="C103" s="37"/>
      <c r="D103" s="18"/>
      <c r="F103" s="65" t="s">
        <v>502</v>
      </c>
      <c r="G103" s="60" t="s">
        <v>561</v>
      </c>
      <c r="H103" s="60" t="s">
        <v>681</v>
      </c>
    </row>
    <row r="104" spans="2:8" x14ac:dyDescent="0.25">
      <c r="B104" s="35"/>
      <c r="C104" s="36"/>
      <c r="D104" s="18"/>
      <c r="F104" s="65" t="s">
        <v>499</v>
      </c>
      <c r="G104" s="60" t="s">
        <v>561</v>
      </c>
      <c r="H104" s="60" t="s">
        <v>667</v>
      </c>
    </row>
    <row r="105" spans="2:8" x14ac:dyDescent="0.25">
      <c r="B105" s="35"/>
      <c r="C105" s="36"/>
      <c r="D105" s="18"/>
      <c r="F105" s="65" t="s">
        <v>498</v>
      </c>
      <c r="G105" s="60" t="s">
        <v>561</v>
      </c>
      <c r="H105" s="60" t="s">
        <v>668</v>
      </c>
    </row>
    <row r="106" spans="2:8" x14ac:dyDescent="0.25">
      <c r="B106" s="35"/>
      <c r="C106" s="36"/>
      <c r="D106" s="18"/>
      <c r="F106" s="65" t="s">
        <v>497</v>
      </c>
      <c r="G106" s="60" t="s">
        <v>561</v>
      </c>
      <c r="H106" s="60" t="s">
        <v>669</v>
      </c>
    </row>
    <row r="107" spans="2:8" x14ac:dyDescent="0.25">
      <c r="B107" s="35"/>
      <c r="C107" s="36"/>
      <c r="D107" s="18"/>
      <c r="F107" s="65" t="s">
        <v>500</v>
      </c>
      <c r="G107" s="60" t="s">
        <v>561</v>
      </c>
      <c r="H107" s="60" t="s">
        <v>670</v>
      </c>
    </row>
    <row r="108" spans="2:8" x14ac:dyDescent="0.25">
      <c r="B108" s="35"/>
      <c r="C108" s="36"/>
      <c r="D108" s="18"/>
      <c r="F108" s="65" t="s">
        <v>501</v>
      </c>
      <c r="G108" s="60" t="s">
        <v>561</v>
      </c>
      <c r="H108" s="60" t="s">
        <v>682</v>
      </c>
    </row>
    <row r="109" spans="2:8" x14ac:dyDescent="0.25">
      <c r="B109" s="35"/>
      <c r="C109" s="36"/>
      <c r="D109" s="28"/>
      <c r="F109" s="65" t="s">
        <v>491</v>
      </c>
      <c r="G109" s="60" t="s">
        <v>562</v>
      </c>
      <c r="H109" s="60" t="s">
        <v>683</v>
      </c>
    </row>
    <row r="110" spans="2:8" x14ac:dyDescent="0.25">
      <c r="B110" s="35"/>
      <c r="C110" s="36"/>
      <c r="D110" s="18"/>
      <c r="F110" s="65" t="s">
        <v>496</v>
      </c>
      <c r="G110" s="60" t="s">
        <v>562</v>
      </c>
      <c r="H110" s="60" t="s">
        <v>684</v>
      </c>
    </row>
    <row r="111" spans="2:8" x14ac:dyDescent="0.25">
      <c r="B111" s="35"/>
      <c r="C111" s="36"/>
      <c r="D111" s="18"/>
      <c r="F111" s="65" t="s">
        <v>494</v>
      </c>
      <c r="G111" s="60" t="s">
        <v>562</v>
      </c>
      <c r="H111" s="60" t="s">
        <v>685</v>
      </c>
    </row>
    <row r="112" spans="2:8" x14ac:dyDescent="0.25">
      <c r="B112" s="35"/>
      <c r="C112" s="36"/>
      <c r="D112" s="18"/>
      <c r="F112" s="65" t="s">
        <v>493</v>
      </c>
      <c r="G112" s="60" t="s">
        <v>562</v>
      </c>
      <c r="H112" s="60" t="s">
        <v>671</v>
      </c>
    </row>
    <row r="113" spans="2:8" x14ac:dyDescent="0.25">
      <c r="B113" s="35"/>
      <c r="C113" s="36"/>
      <c r="D113" s="18"/>
      <c r="F113" s="65" t="s">
        <v>492</v>
      </c>
      <c r="G113" s="60" t="s">
        <v>562</v>
      </c>
      <c r="H113" s="60" t="s">
        <v>672</v>
      </c>
    </row>
    <row r="114" spans="2:8" x14ac:dyDescent="0.25">
      <c r="B114" s="35"/>
      <c r="C114" s="36"/>
      <c r="D114" s="18"/>
      <c r="F114" s="65" t="s">
        <v>579</v>
      </c>
      <c r="G114" s="60" t="s">
        <v>561</v>
      </c>
      <c r="H114" s="60" t="s">
        <v>686</v>
      </c>
    </row>
    <row r="115" spans="2:8" x14ac:dyDescent="0.25">
      <c r="B115" s="35"/>
      <c r="C115" s="36"/>
      <c r="D115" s="18"/>
      <c r="F115" s="65" t="s">
        <v>580</v>
      </c>
      <c r="G115" s="60" t="s">
        <v>561</v>
      </c>
      <c r="H115" s="60" t="s">
        <v>687</v>
      </c>
    </row>
    <row r="116" spans="2:8" x14ac:dyDescent="0.25">
      <c r="B116" s="35"/>
      <c r="C116" s="36"/>
      <c r="D116" s="18"/>
      <c r="F116" s="65" t="s">
        <v>581</v>
      </c>
      <c r="G116" s="60" t="s">
        <v>561</v>
      </c>
      <c r="H116" s="60" t="s">
        <v>688</v>
      </c>
    </row>
    <row r="117" spans="2:8" x14ac:dyDescent="0.25">
      <c r="B117" s="35"/>
      <c r="C117" s="36"/>
      <c r="D117" s="18"/>
      <c r="F117" s="65" t="s">
        <v>582</v>
      </c>
      <c r="G117" s="60" t="s">
        <v>561</v>
      </c>
      <c r="H117" s="60" t="s">
        <v>689</v>
      </c>
    </row>
    <row r="118" spans="2:8" x14ac:dyDescent="0.25">
      <c r="B118" s="35"/>
      <c r="C118" s="36"/>
      <c r="D118" s="18"/>
      <c r="F118" s="65" t="s">
        <v>583</v>
      </c>
      <c r="G118" s="60" t="s">
        <v>561</v>
      </c>
      <c r="H118" s="60" t="s">
        <v>690</v>
      </c>
    </row>
    <row r="119" spans="2:8" x14ac:dyDescent="0.25">
      <c r="B119" s="35"/>
      <c r="C119" s="36"/>
      <c r="D119" s="18"/>
      <c r="F119" s="65" t="s">
        <v>584</v>
      </c>
      <c r="G119" s="60" t="s">
        <v>561</v>
      </c>
      <c r="H119" s="60" t="s">
        <v>691</v>
      </c>
    </row>
    <row r="120" spans="2:8" x14ac:dyDescent="0.25">
      <c r="B120" s="35"/>
      <c r="C120" s="36"/>
      <c r="D120" s="18"/>
      <c r="F120" s="65" t="s">
        <v>585</v>
      </c>
      <c r="G120" s="60" t="s">
        <v>561</v>
      </c>
      <c r="H120" s="60" t="s">
        <v>692</v>
      </c>
    </row>
    <row r="121" spans="2:8" x14ac:dyDescent="0.25">
      <c r="B121" s="35"/>
      <c r="C121" s="36"/>
      <c r="D121" s="18"/>
      <c r="F121" s="65" t="s">
        <v>586</v>
      </c>
      <c r="G121" s="60" t="s">
        <v>561</v>
      </c>
      <c r="H121" s="60" t="s">
        <v>693</v>
      </c>
    </row>
    <row r="122" spans="2:8" x14ac:dyDescent="0.25">
      <c r="B122" s="35"/>
      <c r="C122" s="37"/>
      <c r="D122" s="18"/>
      <c r="F122" s="65" t="s">
        <v>587</v>
      </c>
      <c r="G122" s="60" t="s">
        <v>561</v>
      </c>
      <c r="H122" s="60" t="s">
        <v>694</v>
      </c>
    </row>
    <row r="123" spans="2:8" x14ac:dyDescent="0.25">
      <c r="B123" s="35"/>
      <c r="C123" s="36"/>
      <c r="D123" s="18"/>
      <c r="F123" s="65" t="s">
        <v>588</v>
      </c>
      <c r="G123" s="60" t="s">
        <v>561</v>
      </c>
      <c r="H123" s="60" t="s">
        <v>695</v>
      </c>
    </row>
    <row r="124" spans="2:8" x14ac:dyDescent="0.25">
      <c r="B124" s="35"/>
      <c r="C124" s="36"/>
      <c r="D124" s="18"/>
      <c r="F124" s="65" t="s">
        <v>589</v>
      </c>
      <c r="G124" s="60" t="s">
        <v>561</v>
      </c>
      <c r="H124" s="60" t="s">
        <v>696</v>
      </c>
    </row>
    <row r="125" spans="2:8" x14ac:dyDescent="0.25">
      <c r="B125" s="35"/>
      <c r="C125" s="36"/>
      <c r="D125" s="18"/>
      <c r="F125" s="65" t="s">
        <v>590</v>
      </c>
      <c r="G125" s="60" t="s">
        <v>561</v>
      </c>
      <c r="H125" s="60" t="s">
        <v>697</v>
      </c>
    </row>
    <row r="126" spans="2:8" x14ac:dyDescent="0.25">
      <c r="B126" s="35"/>
      <c r="C126" s="36"/>
      <c r="D126" s="18"/>
      <c r="F126" s="65" t="s">
        <v>591</v>
      </c>
      <c r="G126" s="60" t="s">
        <v>561</v>
      </c>
      <c r="H126" s="60" t="s">
        <v>698</v>
      </c>
    </row>
    <row r="127" spans="2:8" x14ac:dyDescent="0.25">
      <c r="B127" s="35"/>
      <c r="C127" s="36"/>
      <c r="D127" s="18"/>
      <c r="F127" s="65" t="s">
        <v>895</v>
      </c>
      <c r="G127" s="60" t="s">
        <v>561</v>
      </c>
      <c r="H127" s="60" t="s">
        <v>896</v>
      </c>
    </row>
    <row r="128" spans="2:8" x14ac:dyDescent="0.25">
      <c r="B128" s="35"/>
      <c r="C128" s="36"/>
      <c r="D128" s="28"/>
      <c r="F128" s="65" t="s">
        <v>897</v>
      </c>
      <c r="G128" s="60" t="s">
        <v>561</v>
      </c>
      <c r="H128" s="60" t="s">
        <v>898</v>
      </c>
    </row>
    <row r="129" spans="2:8" x14ac:dyDescent="0.25">
      <c r="B129" s="35"/>
      <c r="C129" s="36"/>
      <c r="D129" s="18"/>
      <c r="F129" s="65" t="s">
        <v>899</v>
      </c>
      <c r="G129" s="60" t="s">
        <v>561</v>
      </c>
      <c r="H129" s="60" t="s">
        <v>900</v>
      </c>
    </row>
    <row r="130" spans="2:8" x14ac:dyDescent="0.25">
      <c r="B130" s="35"/>
      <c r="C130" s="36"/>
      <c r="D130" s="18"/>
      <c r="F130" s="65" t="s">
        <v>592</v>
      </c>
      <c r="G130" s="60" t="s">
        <v>561</v>
      </c>
      <c r="H130" s="60" t="s">
        <v>699</v>
      </c>
    </row>
    <row r="131" spans="2:8" x14ac:dyDescent="0.25">
      <c r="B131" s="35"/>
      <c r="C131" s="36"/>
      <c r="D131" s="18"/>
      <c r="F131" s="65" t="s">
        <v>901</v>
      </c>
      <c r="G131" s="60" t="s">
        <v>561</v>
      </c>
      <c r="H131" s="60" t="s">
        <v>902</v>
      </c>
    </row>
    <row r="132" spans="2:8" x14ac:dyDescent="0.25">
      <c r="B132" s="35"/>
      <c r="C132" s="36"/>
      <c r="D132" s="18"/>
      <c r="F132" s="65" t="s">
        <v>593</v>
      </c>
      <c r="G132" s="60" t="s">
        <v>561</v>
      </c>
      <c r="H132" s="60" t="s">
        <v>700</v>
      </c>
    </row>
    <row r="133" spans="2:8" x14ac:dyDescent="0.25">
      <c r="B133" s="35"/>
      <c r="C133" s="36"/>
      <c r="D133" s="18"/>
      <c r="F133" s="65" t="s">
        <v>594</v>
      </c>
      <c r="G133" s="60" t="s">
        <v>561</v>
      </c>
      <c r="H133" s="60" t="s">
        <v>701</v>
      </c>
    </row>
    <row r="134" spans="2:8" x14ac:dyDescent="0.25">
      <c r="B134" s="35"/>
      <c r="C134" s="36"/>
      <c r="D134" s="18"/>
      <c r="F134" s="65" t="s">
        <v>595</v>
      </c>
      <c r="G134" s="60" t="s">
        <v>561</v>
      </c>
      <c r="H134" s="60" t="s">
        <v>702</v>
      </c>
    </row>
    <row r="135" spans="2:8" x14ac:dyDescent="0.25">
      <c r="B135" s="35"/>
      <c r="C135" s="36"/>
      <c r="D135" s="18"/>
      <c r="F135" s="65" t="s">
        <v>596</v>
      </c>
      <c r="G135" s="60" t="s">
        <v>561</v>
      </c>
      <c r="H135" s="60" t="s">
        <v>703</v>
      </c>
    </row>
    <row r="136" spans="2:8" x14ac:dyDescent="0.25">
      <c r="B136" s="35"/>
      <c r="C136" s="36"/>
      <c r="D136" s="18"/>
      <c r="F136" s="65" t="s">
        <v>597</v>
      </c>
      <c r="G136" s="60" t="s">
        <v>561</v>
      </c>
      <c r="H136" s="60" t="s">
        <v>704</v>
      </c>
    </row>
    <row r="137" spans="2:8" x14ac:dyDescent="0.25">
      <c r="B137" s="35"/>
      <c r="C137" s="36"/>
      <c r="D137" s="18"/>
      <c r="F137" s="65" t="s">
        <v>598</v>
      </c>
      <c r="G137" s="60" t="s">
        <v>561</v>
      </c>
      <c r="H137" s="60" t="s">
        <v>705</v>
      </c>
    </row>
    <row r="138" spans="2:8" x14ac:dyDescent="0.25">
      <c r="B138" s="35"/>
      <c r="C138" s="36"/>
      <c r="D138" s="18"/>
      <c r="F138" s="65" t="s">
        <v>599</v>
      </c>
      <c r="G138" s="60" t="s">
        <v>561</v>
      </c>
      <c r="H138" s="60" t="s">
        <v>706</v>
      </c>
    </row>
    <row r="139" spans="2:8" x14ac:dyDescent="0.25">
      <c r="B139" s="35"/>
      <c r="C139" s="36"/>
      <c r="D139" s="18"/>
      <c r="F139" s="65" t="s">
        <v>600</v>
      </c>
      <c r="G139" s="60" t="s">
        <v>561</v>
      </c>
      <c r="H139" s="60" t="s">
        <v>707</v>
      </c>
    </row>
    <row r="140" spans="2:8" x14ac:dyDescent="0.25">
      <c r="B140" s="35"/>
      <c r="C140" s="36"/>
      <c r="D140" s="18"/>
      <c r="F140" s="65" t="s">
        <v>903</v>
      </c>
      <c r="G140" s="60" t="s">
        <v>561</v>
      </c>
      <c r="H140" s="60" t="s">
        <v>904</v>
      </c>
    </row>
    <row r="141" spans="2:8" x14ac:dyDescent="0.25">
      <c r="B141" s="35"/>
      <c r="C141" s="37"/>
      <c r="D141" s="18"/>
      <c r="F141" s="65" t="s">
        <v>601</v>
      </c>
      <c r="G141" s="60" t="s">
        <v>561</v>
      </c>
      <c r="H141" s="60" t="s">
        <v>708</v>
      </c>
    </row>
    <row r="142" spans="2:8" x14ac:dyDescent="0.25">
      <c r="B142" s="35"/>
      <c r="C142" s="36"/>
      <c r="D142" s="18"/>
      <c r="F142" s="65" t="s">
        <v>602</v>
      </c>
      <c r="G142" s="60" t="s">
        <v>561</v>
      </c>
      <c r="H142" s="60" t="s">
        <v>709</v>
      </c>
    </row>
    <row r="143" spans="2:8" x14ac:dyDescent="0.25">
      <c r="B143" s="35"/>
      <c r="C143" s="36"/>
      <c r="D143" s="18"/>
      <c r="F143" s="65" t="s">
        <v>905</v>
      </c>
      <c r="G143" s="60" t="s">
        <v>561</v>
      </c>
      <c r="H143" s="60" t="s">
        <v>906</v>
      </c>
    </row>
    <row r="144" spans="2:8" x14ac:dyDescent="0.25">
      <c r="B144" s="35"/>
      <c r="C144" s="36"/>
      <c r="D144" s="18"/>
      <c r="F144" s="65" t="s">
        <v>603</v>
      </c>
      <c r="G144" s="60" t="s">
        <v>561</v>
      </c>
      <c r="H144" s="60" t="s">
        <v>710</v>
      </c>
    </row>
    <row r="145" spans="2:8" x14ac:dyDescent="0.25">
      <c r="B145" s="35"/>
      <c r="C145" s="36"/>
      <c r="D145" s="18"/>
      <c r="F145" s="65" t="s">
        <v>604</v>
      </c>
      <c r="G145" s="60" t="s">
        <v>561</v>
      </c>
      <c r="H145" s="60" t="s">
        <v>711</v>
      </c>
    </row>
    <row r="146" spans="2:8" x14ac:dyDescent="0.25">
      <c r="B146" s="35"/>
      <c r="C146" s="36"/>
      <c r="D146" s="18"/>
      <c r="F146" s="65" t="s">
        <v>907</v>
      </c>
      <c r="G146" s="60" t="s">
        <v>561</v>
      </c>
      <c r="H146" s="60" t="s">
        <v>908</v>
      </c>
    </row>
    <row r="147" spans="2:8" x14ac:dyDescent="0.25">
      <c r="B147" s="35"/>
      <c r="C147" s="36"/>
      <c r="D147" s="28"/>
      <c r="F147" s="65" t="s">
        <v>605</v>
      </c>
      <c r="G147" s="60" t="s">
        <v>561</v>
      </c>
      <c r="H147" s="60" t="s">
        <v>712</v>
      </c>
    </row>
    <row r="148" spans="2:8" x14ac:dyDescent="0.25">
      <c r="B148" s="35"/>
      <c r="C148" s="36"/>
      <c r="D148" s="18"/>
      <c r="F148" s="65" t="s">
        <v>606</v>
      </c>
      <c r="G148" s="60" t="s">
        <v>561</v>
      </c>
      <c r="H148" s="60" t="s">
        <v>713</v>
      </c>
    </row>
    <row r="149" spans="2:8" x14ac:dyDescent="0.25">
      <c r="B149" s="35"/>
      <c r="C149" s="36"/>
      <c r="D149" s="18"/>
      <c r="F149" s="65" t="s">
        <v>607</v>
      </c>
      <c r="G149" s="60" t="s">
        <v>561</v>
      </c>
      <c r="H149" s="60" t="s">
        <v>714</v>
      </c>
    </row>
    <row r="150" spans="2:8" x14ac:dyDescent="0.25">
      <c r="B150" s="35"/>
      <c r="C150" s="36"/>
      <c r="D150" s="18"/>
      <c r="F150" s="65" t="s">
        <v>608</v>
      </c>
      <c r="G150" s="60" t="s">
        <v>561</v>
      </c>
      <c r="H150" s="60" t="s">
        <v>715</v>
      </c>
    </row>
    <row r="151" spans="2:8" x14ac:dyDescent="0.25">
      <c r="B151" s="35"/>
      <c r="C151" s="36"/>
      <c r="D151" s="18"/>
      <c r="F151" s="65" t="s">
        <v>609</v>
      </c>
      <c r="G151" s="60" t="s">
        <v>561</v>
      </c>
      <c r="H151" s="60" t="s">
        <v>716</v>
      </c>
    </row>
    <row r="152" spans="2:8" x14ac:dyDescent="0.25">
      <c r="B152" s="35"/>
      <c r="C152" s="36"/>
      <c r="D152" s="18"/>
      <c r="F152" s="65" t="s">
        <v>610</v>
      </c>
      <c r="G152" s="60" t="s">
        <v>561</v>
      </c>
      <c r="H152" s="60" t="s">
        <v>717</v>
      </c>
    </row>
    <row r="153" spans="2:8" x14ac:dyDescent="0.25">
      <c r="B153" s="35"/>
      <c r="C153" s="36"/>
      <c r="D153" s="18"/>
      <c r="F153" s="65" t="s">
        <v>611</v>
      </c>
      <c r="G153" s="60" t="s">
        <v>561</v>
      </c>
      <c r="H153" s="60" t="s">
        <v>718</v>
      </c>
    </row>
    <row r="154" spans="2:8" x14ac:dyDescent="0.25">
      <c r="B154" s="35"/>
      <c r="C154" s="36"/>
      <c r="D154" s="18"/>
      <c r="F154" s="65" t="s">
        <v>612</v>
      </c>
      <c r="G154" s="60" t="s">
        <v>561</v>
      </c>
      <c r="H154" s="60" t="s">
        <v>719</v>
      </c>
    </row>
    <row r="155" spans="2:8" x14ac:dyDescent="0.25">
      <c r="B155" s="35"/>
      <c r="C155" s="36"/>
      <c r="D155" s="18"/>
      <c r="F155" s="65" t="s">
        <v>613</v>
      </c>
      <c r="G155" s="60" t="s">
        <v>561</v>
      </c>
      <c r="H155" s="60" t="s">
        <v>720</v>
      </c>
    </row>
    <row r="156" spans="2:8" x14ac:dyDescent="0.25">
      <c r="B156" s="35"/>
      <c r="C156" s="36"/>
      <c r="D156" s="18"/>
      <c r="F156" s="65" t="s">
        <v>614</v>
      </c>
      <c r="G156" s="60" t="s">
        <v>561</v>
      </c>
      <c r="H156" s="60" t="s">
        <v>721</v>
      </c>
    </row>
    <row r="157" spans="2:8" x14ac:dyDescent="0.25">
      <c r="B157" s="35"/>
      <c r="C157" s="36"/>
      <c r="D157" s="18"/>
      <c r="F157" s="65" t="s">
        <v>616</v>
      </c>
      <c r="G157" s="60" t="s">
        <v>562</v>
      </c>
      <c r="H157" s="60" t="s">
        <v>722</v>
      </c>
    </row>
    <row r="158" spans="2:8" x14ac:dyDescent="0.25">
      <c r="B158" s="35"/>
      <c r="C158" s="36"/>
      <c r="D158" s="18"/>
      <c r="F158" s="65" t="s">
        <v>617</v>
      </c>
      <c r="G158" s="60" t="s">
        <v>562</v>
      </c>
      <c r="H158" s="60" t="s">
        <v>723</v>
      </c>
    </row>
    <row r="159" spans="2:8" x14ac:dyDescent="0.25">
      <c r="B159" s="35"/>
      <c r="C159" s="36"/>
      <c r="D159" s="18"/>
      <c r="F159" s="65" t="s">
        <v>618</v>
      </c>
      <c r="G159" s="60" t="s">
        <v>562</v>
      </c>
      <c r="H159" s="60" t="s">
        <v>724</v>
      </c>
    </row>
    <row r="160" spans="2:8" x14ac:dyDescent="0.25">
      <c r="B160" s="35"/>
      <c r="C160" s="37"/>
      <c r="D160" s="18"/>
      <c r="F160" s="65" t="s">
        <v>619</v>
      </c>
      <c r="G160" s="60" t="s">
        <v>562</v>
      </c>
      <c r="H160" s="60" t="s">
        <v>725</v>
      </c>
    </row>
    <row r="161" spans="2:8" x14ac:dyDescent="0.25">
      <c r="B161" s="35"/>
      <c r="C161" s="36"/>
      <c r="D161" s="18"/>
      <c r="F161" s="65" t="s">
        <v>620</v>
      </c>
      <c r="G161" s="60" t="s">
        <v>562</v>
      </c>
      <c r="H161" s="60" t="s">
        <v>726</v>
      </c>
    </row>
    <row r="162" spans="2:8" x14ac:dyDescent="0.25">
      <c r="B162" s="35"/>
      <c r="C162" s="36"/>
      <c r="D162" s="18"/>
      <c r="F162" s="65" t="s">
        <v>620</v>
      </c>
      <c r="G162" s="60" t="s">
        <v>562</v>
      </c>
      <c r="H162" s="60" t="s">
        <v>726</v>
      </c>
    </row>
    <row r="163" spans="2:8" x14ac:dyDescent="0.25">
      <c r="B163" s="35"/>
      <c r="C163" s="36"/>
      <c r="D163" s="18"/>
    </row>
    <row r="164" spans="2:8" x14ac:dyDescent="0.25">
      <c r="B164" s="35"/>
      <c r="C164" s="36"/>
      <c r="D164" s="18"/>
      <c r="F164" s="11"/>
    </row>
    <row r="165" spans="2:8" x14ac:dyDescent="0.25">
      <c r="B165" s="35"/>
      <c r="C165" s="36"/>
      <c r="D165" s="18"/>
      <c r="F165" s="11"/>
    </row>
    <row r="166" spans="2:8" x14ac:dyDescent="0.25">
      <c r="B166" s="35"/>
      <c r="C166" s="36"/>
      <c r="D166" s="28"/>
      <c r="F166" s="11"/>
    </row>
    <row r="167" spans="2:8" x14ac:dyDescent="0.25">
      <c r="B167" s="35"/>
      <c r="C167" s="36"/>
      <c r="D167" s="18"/>
      <c r="F167" s="11"/>
    </row>
    <row r="168" spans="2:8" x14ac:dyDescent="0.25">
      <c r="B168" s="35"/>
      <c r="C168" s="36"/>
      <c r="D168" s="18"/>
      <c r="F168" s="11"/>
    </row>
    <row r="169" spans="2:8" x14ac:dyDescent="0.25">
      <c r="B169" s="35"/>
      <c r="C169" s="36"/>
      <c r="D169" s="18"/>
      <c r="F169" s="11"/>
    </row>
    <row r="170" spans="2:8" x14ac:dyDescent="0.25">
      <c r="B170" s="35"/>
      <c r="C170" s="36"/>
      <c r="D170" s="18"/>
      <c r="F170" s="11"/>
    </row>
    <row r="171" spans="2:8" x14ac:dyDescent="0.25">
      <c r="B171" s="35"/>
      <c r="C171" s="36"/>
      <c r="D171" s="18"/>
      <c r="F171" s="11"/>
    </row>
    <row r="172" spans="2:8" x14ac:dyDescent="0.25">
      <c r="B172" s="35"/>
      <c r="C172" s="36"/>
      <c r="D172" s="18"/>
      <c r="F172" s="11"/>
    </row>
    <row r="173" spans="2:8" x14ac:dyDescent="0.25">
      <c r="B173" s="35"/>
      <c r="C173" s="36"/>
      <c r="D173" s="18"/>
      <c r="F173" s="11"/>
    </row>
    <row r="174" spans="2:8" x14ac:dyDescent="0.25">
      <c r="B174" s="35"/>
      <c r="C174" s="36"/>
      <c r="D174" s="18"/>
      <c r="F174" s="11"/>
    </row>
    <row r="175" spans="2:8" x14ac:dyDescent="0.25">
      <c r="B175" s="35"/>
      <c r="C175" s="36"/>
      <c r="D175" s="18"/>
      <c r="F175" s="11"/>
    </row>
    <row r="176" spans="2:8" x14ac:dyDescent="0.25">
      <c r="B176" s="36"/>
      <c r="C176" s="36"/>
      <c r="D176" s="18"/>
      <c r="F176" s="11"/>
    </row>
    <row r="177" spans="2:6" x14ac:dyDescent="0.25">
      <c r="B177" s="36"/>
      <c r="C177" s="36"/>
      <c r="D177" s="18"/>
      <c r="F177" s="11"/>
    </row>
    <row r="178" spans="2:6" x14ac:dyDescent="0.25">
      <c r="B178" s="36"/>
      <c r="C178" s="36"/>
      <c r="D178" s="18"/>
      <c r="F178" s="11"/>
    </row>
    <row r="179" spans="2:6" x14ac:dyDescent="0.25">
      <c r="B179" s="36"/>
      <c r="C179" s="36"/>
      <c r="D179" s="18"/>
      <c r="F179" s="11"/>
    </row>
    <row r="180" spans="2:6" x14ac:dyDescent="0.25">
      <c r="B180" s="36"/>
      <c r="C180" s="36"/>
      <c r="D180" s="18"/>
      <c r="F180" s="11"/>
    </row>
    <row r="181" spans="2:6" x14ac:dyDescent="0.25">
      <c r="D181" s="18"/>
      <c r="F181" s="11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DataLoad">
                <anchor moveWithCells="1" sizeWithCells="1">
                  <from>
                    <xdr:col>0</xdr:col>
                    <xdr:colOff>638175</xdr:colOff>
                    <xdr:row>1</xdr:row>
                    <xdr:rowOff>85725</xdr:rowOff>
                  </from>
                  <to>
                    <xdr:col>0</xdr:col>
                    <xdr:colOff>2143125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MakeComparisonTable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4</xdr:col>
                    <xdr:colOff>485775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Button 10">
              <controlPr defaultSize="0" print="0" autoFill="0" autoPict="0" macro="[0]!MakeVarTables">
                <anchor moveWithCells="1" sizeWithCells="1">
                  <from>
                    <xdr:col>8</xdr:col>
                    <xdr:colOff>152400</xdr:colOff>
                    <xdr:row>1</xdr:row>
                    <xdr:rowOff>57150</xdr:rowOff>
                  </from>
                  <to>
                    <xdr:col>10</xdr:col>
                    <xdr:colOff>447675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Button 12">
              <controlPr defaultSize="0" print="0" autoFill="0" autoPict="0" macro="[0]!ClearTables">
                <anchor moveWithCells="1" sizeWithCells="1">
                  <from>
                    <xdr:col>8</xdr:col>
                    <xdr:colOff>161925</xdr:colOff>
                    <xdr:row>7</xdr:row>
                    <xdr:rowOff>28575</xdr:rowOff>
                  </from>
                  <to>
                    <xdr:col>10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798"/>
  <sheetViews>
    <sheetView showGridLines="0" showRowColHeaders="0" zoomScale="80" zoomScaleNormal="80" workbookViewId="0"/>
  </sheetViews>
  <sheetFormatPr defaultRowHeight="15" x14ac:dyDescent="0.25"/>
  <cols>
    <col min="1" max="1" width="22.140625" customWidth="1"/>
    <col min="2" max="2" width="75.5703125" bestFit="1" customWidth="1"/>
    <col min="3" max="3" width="11.28515625" bestFit="1" customWidth="1"/>
    <col min="4" max="4" width="2.28515625" style="18" customWidth="1"/>
    <col min="5" max="5" width="18.42578125" customWidth="1"/>
    <col min="6" max="6" width="18.7109375" bestFit="1" customWidth="1"/>
    <col min="7" max="7" width="70.5703125" bestFit="1" customWidth="1"/>
    <col min="8" max="8" width="8.5703125" bestFit="1" customWidth="1"/>
    <col min="9" max="9" width="2.28515625" customWidth="1"/>
    <col min="10" max="10" width="22.140625" style="18" customWidth="1"/>
    <col min="11" max="11" width="82.28515625" bestFit="1" customWidth="1"/>
    <col min="12" max="12" width="22.28515625" bestFit="1" customWidth="1"/>
    <col min="13" max="13" width="2.28515625" customWidth="1"/>
    <col min="15" max="15" width="21.28515625" bestFit="1" customWidth="1"/>
    <col min="17" max="17" width="15" customWidth="1"/>
    <col min="18" max="18" width="72.85546875" bestFit="1" customWidth="1"/>
  </cols>
  <sheetData>
    <row r="1" spans="1:33" ht="36.75" customHeight="1" x14ac:dyDescent="0.25">
      <c r="A1" s="1" t="s">
        <v>168</v>
      </c>
      <c r="C1" s="1"/>
      <c r="D1"/>
      <c r="E1" s="1" t="s">
        <v>635</v>
      </c>
      <c r="J1" s="1" t="s">
        <v>636</v>
      </c>
      <c r="AB1" s="36"/>
      <c r="AC1" s="36"/>
      <c r="AD1" s="36"/>
      <c r="AE1" s="36"/>
      <c r="AF1" s="36"/>
      <c r="AG1" s="36"/>
    </row>
    <row r="2" spans="1:33" x14ac:dyDescent="0.25">
      <c r="A2" s="59" t="s">
        <v>124</v>
      </c>
      <c r="B2" s="59" t="s">
        <v>44</v>
      </c>
      <c r="C2" s="59" t="s">
        <v>156</v>
      </c>
      <c r="D2"/>
      <c r="E2" s="59" t="s">
        <v>122</v>
      </c>
      <c r="F2" s="59" t="s">
        <v>123</v>
      </c>
      <c r="G2" s="59" t="s">
        <v>44</v>
      </c>
      <c r="H2" s="59" t="s">
        <v>156</v>
      </c>
      <c r="J2" s="64" t="s">
        <v>122</v>
      </c>
      <c r="K2" s="64" t="s">
        <v>44</v>
      </c>
      <c r="L2" s="64" t="s">
        <v>156</v>
      </c>
      <c r="N2" s="1"/>
      <c r="AB2" s="38"/>
      <c r="AC2" s="36"/>
      <c r="AD2" s="38"/>
      <c r="AE2" s="36"/>
      <c r="AF2" s="36"/>
      <c r="AG2" s="36"/>
    </row>
    <row r="3" spans="1:33" x14ac:dyDescent="0.25">
      <c r="A3" s="56" t="s">
        <v>161</v>
      </c>
      <c r="B3" s="61" t="s">
        <v>176</v>
      </c>
      <c r="C3" s="62" t="s">
        <v>158</v>
      </c>
      <c r="D3"/>
      <c r="E3" s="66" t="s">
        <v>161</v>
      </c>
      <c r="F3" s="67" t="s">
        <v>637</v>
      </c>
      <c r="G3" s="68" t="s">
        <v>176</v>
      </c>
      <c r="H3" s="69" t="s">
        <v>158</v>
      </c>
      <c r="J3" s="4" t="s">
        <v>425</v>
      </c>
      <c r="K3" s="3" t="s">
        <v>328</v>
      </c>
      <c r="L3" s="3" t="s">
        <v>565</v>
      </c>
      <c r="M3" t="str">
        <f>IF(ISNA(VLOOKUP(J3,$O$167:$P$269,2,FALSE))=TRUE,"",VLOOKUP(J3,$O$167:$P$269,2,FALSE))</f>
        <v/>
      </c>
      <c r="N3" s="53"/>
      <c r="AB3" s="34"/>
      <c r="AC3" s="34"/>
      <c r="AD3" s="34"/>
      <c r="AE3" s="36"/>
      <c r="AF3" s="36"/>
      <c r="AG3" s="36"/>
    </row>
    <row r="4" spans="1:33" x14ac:dyDescent="0.25">
      <c r="A4" s="56" t="s">
        <v>106</v>
      </c>
      <c r="B4" s="63" t="s">
        <v>730</v>
      </c>
      <c r="C4" s="62" t="s">
        <v>158</v>
      </c>
      <c r="D4"/>
      <c r="E4" s="2" t="s">
        <v>41</v>
      </c>
      <c r="F4" s="14" t="s">
        <v>46</v>
      </c>
      <c r="G4" s="3" t="s">
        <v>48</v>
      </c>
      <c r="H4" s="13" t="s">
        <v>158</v>
      </c>
      <c r="J4" s="4" t="s">
        <v>424</v>
      </c>
      <c r="K4" s="3" t="s">
        <v>329</v>
      </c>
      <c r="L4" s="3" t="s">
        <v>179</v>
      </c>
      <c r="M4" t="str">
        <f>IF(ISNA(VLOOKUP(J4,$O$167:$P$269,2,FALSE))=TRUE,"",VLOOKUP(J4,$O$167:$P$269,2,FALSE))</f>
        <v/>
      </c>
      <c r="N4" s="1" t="s">
        <v>633</v>
      </c>
      <c r="AB4" s="38"/>
      <c r="AC4" s="36"/>
      <c r="AD4" s="39"/>
      <c r="AE4" s="36"/>
      <c r="AF4" s="36"/>
      <c r="AG4" s="36"/>
    </row>
    <row r="5" spans="1:33" x14ac:dyDescent="0.25">
      <c r="A5" s="56" t="s">
        <v>105</v>
      </c>
      <c r="B5" s="63" t="s">
        <v>731</v>
      </c>
      <c r="C5" s="62" t="s">
        <v>158</v>
      </c>
      <c r="D5"/>
      <c r="E5" s="4" t="s">
        <v>768</v>
      </c>
      <c r="F5" s="3" t="s">
        <v>46</v>
      </c>
      <c r="G5" s="3" t="s">
        <v>754</v>
      </c>
      <c r="H5" s="13" t="s">
        <v>158</v>
      </c>
      <c r="J5" s="4" t="s">
        <v>942</v>
      </c>
      <c r="K5" s="3" t="s">
        <v>943</v>
      </c>
      <c r="L5" s="3" t="s">
        <v>944</v>
      </c>
      <c r="M5" t="str">
        <f>IF(ISNA(VLOOKUP(J7,$O$167:$P$269,2,FALSE))=TRUE,"",VLOOKUP(J7,$O$167:$P$269,2,FALSE))</f>
        <v/>
      </c>
      <c r="N5" s="52" t="s">
        <v>634</v>
      </c>
      <c r="AB5" s="38"/>
      <c r="AC5" s="37"/>
      <c r="AD5" s="39"/>
      <c r="AE5" s="36"/>
      <c r="AF5" s="36"/>
      <c r="AG5" s="36"/>
    </row>
    <row r="6" spans="1:33" x14ac:dyDescent="0.25">
      <c r="A6" s="56" t="s">
        <v>89</v>
      </c>
      <c r="B6" s="63" t="s">
        <v>146</v>
      </c>
      <c r="C6" s="62" t="s">
        <v>158</v>
      </c>
      <c r="D6"/>
      <c r="E6" s="2" t="s">
        <v>35</v>
      </c>
      <c r="F6" s="14" t="s">
        <v>46</v>
      </c>
      <c r="G6" s="3" t="s">
        <v>49</v>
      </c>
      <c r="H6" s="13" t="s">
        <v>158</v>
      </c>
      <c r="J6" s="4" t="s">
        <v>945</v>
      </c>
      <c r="K6" s="3" t="s">
        <v>946</v>
      </c>
      <c r="L6" s="3" t="s">
        <v>944</v>
      </c>
      <c r="M6" t="str">
        <f>IF(ISNA(VLOOKUP(J8,$O$167:$P$269,2,FALSE))=TRUE,"",VLOOKUP(J8,$O$167:$P$269,2,FALSE))</f>
        <v/>
      </c>
      <c r="N6" s="94" t="s">
        <v>936</v>
      </c>
      <c r="AB6" s="38"/>
      <c r="AC6" s="37"/>
      <c r="AD6" s="39"/>
      <c r="AE6" s="36"/>
      <c r="AF6" s="36"/>
      <c r="AG6" s="36"/>
    </row>
    <row r="7" spans="1:33" x14ac:dyDescent="0.25">
      <c r="A7" s="56" t="s">
        <v>108</v>
      </c>
      <c r="B7" s="63" t="s">
        <v>732</v>
      </c>
      <c r="C7" s="62" t="s">
        <v>158</v>
      </c>
      <c r="D7"/>
      <c r="E7" s="2" t="s">
        <v>42</v>
      </c>
      <c r="F7" s="14" t="s">
        <v>46</v>
      </c>
      <c r="G7" s="23" t="s">
        <v>50</v>
      </c>
      <c r="H7" s="13" t="s">
        <v>158</v>
      </c>
      <c r="J7" s="4" t="s">
        <v>180</v>
      </c>
      <c r="K7" s="3" t="s">
        <v>330</v>
      </c>
      <c r="L7" s="3" t="s">
        <v>185</v>
      </c>
      <c r="M7" t="str">
        <f>IF(ISNA(VLOOKUP(J9,$O$167:$P$269,2,FALSE))=TRUE,"",VLOOKUP(J9,$O$167:$P$269,2,FALSE))</f>
        <v/>
      </c>
      <c r="AB7" s="38"/>
      <c r="AC7" s="37"/>
      <c r="AD7" s="39"/>
      <c r="AE7" s="36"/>
      <c r="AF7" s="36"/>
      <c r="AG7" s="36"/>
    </row>
    <row r="8" spans="1:33" x14ac:dyDescent="0.25">
      <c r="A8" s="56" t="s">
        <v>110</v>
      </c>
      <c r="B8" s="63" t="s">
        <v>743</v>
      </c>
      <c r="C8" s="62" t="s">
        <v>158</v>
      </c>
      <c r="D8"/>
      <c r="E8" s="2" t="s">
        <v>43</v>
      </c>
      <c r="F8" s="14" t="s">
        <v>46</v>
      </c>
      <c r="G8" s="23" t="s">
        <v>51</v>
      </c>
      <c r="H8" s="13" t="s">
        <v>158</v>
      </c>
      <c r="J8" s="4" t="s">
        <v>181</v>
      </c>
      <c r="K8" s="3" t="s">
        <v>331</v>
      </c>
      <c r="L8" s="3" t="s">
        <v>182</v>
      </c>
      <c r="AB8" s="38"/>
      <c r="AC8" s="37"/>
      <c r="AD8" s="39"/>
      <c r="AE8" s="36"/>
      <c r="AF8" s="36"/>
      <c r="AG8" s="36"/>
    </row>
    <row r="9" spans="1:33" x14ac:dyDescent="0.25">
      <c r="A9" s="56" t="s">
        <v>103</v>
      </c>
      <c r="B9" s="63" t="s">
        <v>568</v>
      </c>
      <c r="C9" s="62" t="s">
        <v>158</v>
      </c>
      <c r="D9"/>
      <c r="E9" s="2" t="s">
        <v>40</v>
      </c>
      <c r="F9" s="14" t="s">
        <v>46</v>
      </c>
      <c r="G9" s="23" t="s">
        <v>567</v>
      </c>
      <c r="H9" s="13" t="s">
        <v>158</v>
      </c>
      <c r="J9" s="4" t="s">
        <v>183</v>
      </c>
      <c r="K9" s="3" t="s">
        <v>332</v>
      </c>
      <c r="L9" s="3" t="s">
        <v>184</v>
      </c>
      <c r="AB9" s="38"/>
      <c r="AC9" s="37"/>
      <c r="AD9" s="39"/>
      <c r="AE9" s="36"/>
      <c r="AF9" s="36"/>
      <c r="AG9" s="36"/>
    </row>
    <row r="10" spans="1:33" x14ac:dyDescent="0.25">
      <c r="A10" s="57" t="s">
        <v>230</v>
      </c>
      <c r="B10" s="63" t="s">
        <v>540</v>
      </c>
      <c r="C10" s="62" t="s">
        <v>158</v>
      </c>
      <c r="D10"/>
      <c r="E10" s="2" t="s">
        <v>836</v>
      </c>
      <c r="F10" s="14" t="s">
        <v>46</v>
      </c>
      <c r="G10" s="23" t="s">
        <v>837</v>
      </c>
      <c r="H10" s="13" t="s">
        <v>158</v>
      </c>
      <c r="J10" s="4" t="s">
        <v>528</v>
      </c>
      <c r="K10" s="3" t="s">
        <v>933</v>
      </c>
      <c r="L10" s="3" t="s">
        <v>185</v>
      </c>
      <c r="AB10" s="38"/>
      <c r="AC10" s="37"/>
      <c r="AD10" s="39"/>
      <c r="AE10" s="36"/>
      <c r="AF10" s="36"/>
      <c r="AG10" s="36"/>
    </row>
    <row r="11" spans="1:33" x14ac:dyDescent="0.25">
      <c r="A11" s="56" t="s">
        <v>91</v>
      </c>
      <c r="B11" s="63" t="s">
        <v>148</v>
      </c>
      <c r="C11" s="62" t="s">
        <v>158</v>
      </c>
      <c r="D11"/>
      <c r="E11" s="4" t="s">
        <v>232</v>
      </c>
      <c r="F11" s="3" t="s">
        <v>46</v>
      </c>
      <c r="G11" s="3" t="s">
        <v>554</v>
      </c>
      <c r="H11" s="3" t="s">
        <v>158</v>
      </c>
      <c r="J11" s="4" t="s">
        <v>186</v>
      </c>
      <c r="K11" s="3" t="s">
        <v>530</v>
      </c>
      <c r="L11" s="3" t="s">
        <v>187</v>
      </c>
      <c r="AB11" s="38"/>
      <c r="AC11" s="37"/>
      <c r="AD11" s="39"/>
      <c r="AE11" s="36"/>
      <c r="AF11" s="36"/>
      <c r="AG11" s="36"/>
    </row>
    <row r="12" spans="1:33" x14ac:dyDescent="0.25">
      <c r="A12" s="56" t="s">
        <v>101</v>
      </c>
      <c r="B12" s="63" t="s">
        <v>745</v>
      </c>
      <c r="C12" s="62" t="s">
        <v>158</v>
      </c>
      <c r="D12"/>
      <c r="E12" s="2" t="s">
        <v>36</v>
      </c>
      <c r="F12" s="14" t="s">
        <v>46</v>
      </c>
      <c r="G12" s="23" t="s">
        <v>52</v>
      </c>
      <c r="H12" s="13" t="s">
        <v>158</v>
      </c>
      <c r="J12" s="4" t="s">
        <v>188</v>
      </c>
      <c r="K12" s="3" t="s">
        <v>333</v>
      </c>
      <c r="L12" s="3" t="s">
        <v>189</v>
      </c>
      <c r="AB12" s="38"/>
      <c r="AC12" s="37"/>
      <c r="AD12" s="39"/>
      <c r="AE12" s="36"/>
      <c r="AF12" s="36"/>
      <c r="AG12" s="36"/>
    </row>
    <row r="13" spans="1:33" x14ac:dyDescent="0.25">
      <c r="A13" s="56" t="s">
        <v>93</v>
      </c>
      <c r="B13" s="63" t="s">
        <v>777</v>
      </c>
      <c r="C13" s="62" t="s">
        <v>158</v>
      </c>
      <c r="D13"/>
      <c r="E13" s="2" t="s">
        <v>39</v>
      </c>
      <c r="F13" s="14" t="s">
        <v>46</v>
      </c>
      <c r="G13" s="23" t="s">
        <v>744</v>
      </c>
      <c r="H13" s="13" t="s">
        <v>158</v>
      </c>
      <c r="J13" s="4" t="s">
        <v>190</v>
      </c>
      <c r="K13" s="3" t="s">
        <v>334</v>
      </c>
      <c r="L13" s="3" t="s">
        <v>191</v>
      </c>
      <c r="AB13" s="38"/>
      <c r="AC13" s="37"/>
      <c r="AD13" s="39"/>
      <c r="AE13" s="36"/>
      <c r="AF13" s="36"/>
      <c r="AG13" s="36"/>
    </row>
    <row r="14" spans="1:33" x14ac:dyDescent="0.25">
      <c r="A14" s="56" t="s">
        <v>96</v>
      </c>
      <c r="B14" s="63" t="s">
        <v>778</v>
      </c>
      <c r="C14" s="62" t="s">
        <v>158</v>
      </c>
      <c r="D14"/>
      <c r="E14" s="2" t="s">
        <v>37</v>
      </c>
      <c r="F14" s="14" t="s">
        <v>46</v>
      </c>
      <c r="G14" s="23" t="s">
        <v>53</v>
      </c>
      <c r="H14" s="13" t="s">
        <v>158</v>
      </c>
      <c r="J14" s="54" t="s">
        <v>192</v>
      </c>
      <c r="K14" s="3" t="s">
        <v>531</v>
      </c>
      <c r="L14" s="3" t="s">
        <v>193</v>
      </c>
      <c r="AB14" s="38"/>
      <c r="AC14" s="37"/>
      <c r="AD14" s="39"/>
      <c r="AE14" s="36"/>
      <c r="AF14" s="36"/>
      <c r="AG14" s="36"/>
    </row>
    <row r="15" spans="1:33" x14ac:dyDescent="0.25">
      <c r="A15" s="56" t="s">
        <v>100</v>
      </c>
      <c r="B15" s="63" t="s">
        <v>151</v>
      </c>
      <c r="C15" s="62" t="s">
        <v>158</v>
      </c>
      <c r="D15"/>
      <c r="E15" s="2" t="s">
        <v>38</v>
      </c>
      <c r="F15" s="14" t="s">
        <v>46</v>
      </c>
      <c r="G15" s="23" t="s">
        <v>54</v>
      </c>
      <c r="H15" s="13" t="s">
        <v>158</v>
      </c>
      <c r="J15" s="4" t="s">
        <v>529</v>
      </c>
      <c r="K15" s="3" t="s">
        <v>934</v>
      </c>
      <c r="L15" s="3" t="s">
        <v>185</v>
      </c>
      <c r="AB15" s="38"/>
      <c r="AC15" s="37"/>
      <c r="AD15" s="39"/>
      <c r="AE15" s="36"/>
      <c r="AF15" s="36"/>
      <c r="AG15" s="36"/>
    </row>
    <row r="16" spans="1:33" x14ac:dyDescent="0.25">
      <c r="A16" s="56" t="s">
        <v>326</v>
      </c>
      <c r="B16" s="63" t="s">
        <v>749</v>
      </c>
      <c r="C16" s="62" t="s">
        <v>158</v>
      </c>
      <c r="D16"/>
      <c r="E16" s="2" t="s">
        <v>847</v>
      </c>
      <c r="F16" s="14" t="s">
        <v>47</v>
      </c>
      <c r="G16" s="23" t="s">
        <v>848</v>
      </c>
      <c r="H16" s="13" t="s">
        <v>159</v>
      </c>
      <c r="J16" s="4" t="s">
        <v>194</v>
      </c>
      <c r="K16" s="3" t="s">
        <v>336</v>
      </c>
      <c r="L16" s="3" t="s">
        <v>187</v>
      </c>
      <c r="AB16" s="38"/>
      <c r="AC16" s="37"/>
      <c r="AD16" s="39"/>
      <c r="AE16" s="36"/>
      <c r="AF16" s="36"/>
      <c r="AG16" s="36"/>
    </row>
    <row r="17" spans="1:33" x14ac:dyDescent="0.25">
      <c r="A17" s="58" t="s">
        <v>144</v>
      </c>
      <c r="B17" s="63" t="s">
        <v>153</v>
      </c>
      <c r="C17" s="62" t="s">
        <v>158</v>
      </c>
      <c r="D17"/>
      <c r="E17" s="2" t="s">
        <v>2</v>
      </c>
      <c r="F17" s="14" t="s">
        <v>47</v>
      </c>
      <c r="G17" s="3" t="s">
        <v>56</v>
      </c>
      <c r="H17" s="13" t="s">
        <v>159</v>
      </c>
      <c r="J17" s="4" t="s">
        <v>195</v>
      </c>
      <c r="K17" s="3" t="s">
        <v>337</v>
      </c>
      <c r="L17" s="3" t="s">
        <v>187</v>
      </c>
      <c r="AB17" s="38"/>
      <c r="AC17" s="37"/>
      <c r="AD17" s="39"/>
      <c r="AE17" s="36"/>
      <c r="AF17" s="36"/>
      <c r="AG17" s="36"/>
    </row>
    <row r="18" spans="1:33" x14ac:dyDescent="0.25">
      <c r="A18" s="56" t="s">
        <v>90</v>
      </c>
      <c r="B18" s="63" t="s">
        <v>147</v>
      </c>
      <c r="C18" s="62" t="s">
        <v>158</v>
      </c>
      <c r="D18"/>
      <c r="E18" s="4" t="s">
        <v>325</v>
      </c>
      <c r="F18" s="3" t="s">
        <v>47</v>
      </c>
      <c r="G18" s="3" t="s">
        <v>539</v>
      </c>
      <c r="H18" s="3" t="s">
        <v>159</v>
      </c>
      <c r="J18" s="4" t="s">
        <v>196</v>
      </c>
      <c r="K18" s="3" t="s">
        <v>338</v>
      </c>
      <c r="L18" s="3" t="s">
        <v>197</v>
      </c>
      <c r="AB18" s="38"/>
      <c r="AC18" s="37"/>
      <c r="AD18" s="39"/>
      <c r="AE18" s="36"/>
      <c r="AF18" s="36"/>
      <c r="AG18" s="36"/>
    </row>
    <row r="19" spans="1:33" x14ac:dyDescent="0.25">
      <c r="A19" s="56" t="s">
        <v>98</v>
      </c>
      <c r="B19" s="63" t="s">
        <v>779</v>
      </c>
      <c r="C19" s="62" t="s">
        <v>158</v>
      </c>
      <c r="D19"/>
      <c r="E19" s="2" t="s">
        <v>3</v>
      </c>
      <c r="F19" s="14" t="s">
        <v>47</v>
      </c>
      <c r="G19" s="23" t="s">
        <v>55</v>
      </c>
      <c r="H19" s="13" t="s">
        <v>159</v>
      </c>
      <c r="J19" s="4" t="s">
        <v>198</v>
      </c>
      <c r="K19" s="3" t="s">
        <v>339</v>
      </c>
      <c r="L19" s="3" t="s">
        <v>199</v>
      </c>
      <c r="AB19" s="38"/>
      <c r="AC19" s="37"/>
      <c r="AD19" s="39"/>
      <c r="AE19" s="36"/>
      <c r="AF19" s="36"/>
      <c r="AG19" s="36"/>
    </row>
    <row r="20" spans="1:33" x14ac:dyDescent="0.25">
      <c r="A20" s="56" t="s">
        <v>109</v>
      </c>
      <c r="B20" s="63" t="s">
        <v>750</v>
      </c>
      <c r="C20" s="62" t="s">
        <v>158</v>
      </c>
      <c r="D20"/>
      <c r="E20" s="2" t="s">
        <v>4</v>
      </c>
      <c r="F20" s="14" t="s">
        <v>47</v>
      </c>
      <c r="G20" s="23" t="s">
        <v>771</v>
      </c>
      <c r="H20" s="13" t="s">
        <v>159</v>
      </c>
      <c r="J20" s="4" t="s">
        <v>200</v>
      </c>
      <c r="K20" s="3" t="s">
        <v>335</v>
      </c>
      <c r="L20" s="3" t="s">
        <v>201</v>
      </c>
      <c r="AB20" s="38"/>
      <c r="AC20" s="37"/>
      <c r="AD20" s="39"/>
      <c r="AE20" s="36"/>
      <c r="AF20" s="36"/>
      <c r="AG20" s="36"/>
    </row>
    <row r="21" spans="1:33" x14ac:dyDescent="0.25">
      <c r="A21" s="56" t="s">
        <v>111</v>
      </c>
      <c r="B21" s="63" t="s">
        <v>751</v>
      </c>
      <c r="C21" s="62" t="s">
        <v>158</v>
      </c>
      <c r="D21"/>
      <c r="E21" s="2" t="s">
        <v>5</v>
      </c>
      <c r="F21" s="14" t="s">
        <v>47</v>
      </c>
      <c r="G21" s="23" t="s">
        <v>772</v>
      </c>
      <c r="H21" s="13" t="s">
        <v>159</v>
      </c>
      <c r="J21" s="4" t="s">
        <v>928</v>
      </c>
      <c r="K21" s="3" t="s">
        <v>935</v>
      </c>
      <c r="L21" s="3" t="s">
        <v>185</v>
      </c>
      <c r="AB21" s="38"/>
      <c r="AC21" s="37"/>
      <c r="AD21" s="39"/>
      <c r="AE21" s="36"/>
      <c r="AF21" s="36"/>
      <c r="AG21" s="36"/>
    </row>
    <row r="22" spans="1:33" x14ac:dyDescent="0.25">
      <c r="A22" s="58" t="s">
        <v>143</v>
      </c>
      <c r="B22" s="63" t="s">
        <v>931</v>
      </c>
      <c r="C22" s="62" t="s">
        <v>158</v>
      </c>
      <c r="D22"/>
      <c r="E22" s="2" t="s">
        <v>849</v>
      </c>
      <c r="F22" s="14" t="s">
        <v>47</v>
      </c>
      <c r="G22" s="23" t="s">
        <v>850</v>
      </c>
      <c r="H22" s="13" t="s">
        <v>159</v>
      </c>
      <c r="J22" s="4" t="s">
        <v>202</v>
      </c>
      <c r="K22" s="3" t="s">
        <v>340</v>
      </c>
      <c r="L22" s="3" t="s">
        <v>203</v>
      </c>
      <c r="AB22" s="38"/>
      <c r="AC22" s="37"/>
      <c r="AD22" s="39"/>
      <c r="AE22" s="36"/>
      <c r="AF22" s="36"/>
      <c r="AG22" s="36"/>
    </row>
    <row r="23" spans="1:33" x14ac:dyDescent="0.25">
      <c r="A23" s="56" t="s">
        <v>104</v>
      </c>
      <c r="B23" s="63" t="s">
        <v>569</v>
      </c>
      <c r="C23" s="62" t="s">
        <v>158</v>
      </c>
      <c r="D23"/>
      <c r="E23" s="2" t="s">
        <v>6</v>
      </c>
      <c r="F23" s="14" t="s">
        <v>47</v>
      </c>
      <c r="G23" s="23" t="s">
        <v>57</v>
      </c>
      <c r="H23" s="13" t="s">
        <v>159</v>
      </c>
      <c r="J23" s="4" t="s">
        <v>204</v>
      </c>
      <c r="K23" s="3" t="s">
        <v>341</v>
      </c>
      <c r="L23" s="3" t="s">
        <v>205</v>
      </c>
      <c r="AB23" s="38"/>
      <c r="AC23" s="37"/>
      <c r="AD23" s="39"/>
      <c r="AE23" s="36"/>
      <c r="AF23" s="36"/>
      <c r="AG23" s="36"/>
    </row>
    <row r="24" spans="1:33" x14ac:dyDescent="0.25">
      <c r="A24" s="56" t="s">
        <v>838</v>
      </c>
      <c r="B24" s="63" t="s">
        <v>839</v>
      </c>
      <c r="C24" s="62" t="s">
        <v>158</v>
      </c>
      <c r="D24"/>
      <c r="E24" s="2" t="s">
        <v>7</v>
      </c>
      <c r="F24" s="14" t="s">
        <v>47</v>
      </c>
      <c r="G24" s="23" t="s">
        <v>58</v>
      </c>
      <c r="H24" s="13" t="s">
        <v>159</v>
      </c>
      <c r="J24" s="4" t="s">
        <v>206</v>
      </c>
      <c r="K24" s="3" t="s">
        <v>727</v>
      </c>
      <c r="L24" s="3" t="s">
        <v>203</v>
      </c>
      <c r="AB24" s="38"/>
      <c r="AC24" s="37"/>
      <c r="AD24" s="39"/>
      <c r="AE24" s="36"/>
      <c r="AF24" s="36"/>
      <c r="AG24" s="36"/>
    </row>
    <row r="25" spans="1:33" x14ac:dyDescent="0.25">
      <c r="A25" s="56" t="s">
        <v>99</v>
      </c>
      <c r="B25" s="63" t="s">
        <v>150</v>
      </c>
      <c r="C25" s="62" t="s">
        <v>158</v>
      </c>
      <c r="D25"/>
      <c r="E25" s="2" t="s">
        <v>8</v>
      </c>
      <c r="F25" s="14" t="s">
        <v>47</v>
      </c>
      <c r="G25" s="23" t="s">
        <v>59</v>
      </c>
      <c r="H25" s="13" t="s">
        <v>159</v>
      </c>
      <c r="J25" s="4" t="s">
        <v>342</v>
      </c>
      <c r="K25" s="27" t="s">
        <v>343</v>
      </c>
      <c r="L25" s="3" t="s">
        <v>203</v>
      </c>
      <c r="AB25" s="38"/>
      <c r="AC25" s="37"/>
      <c r="AD25" s="39"/>
      <c r="AE25" s="36"/>
      <c r="AF25" s="36"/>
      <c r="AG25" s="36"/>
    </row>
    <row r="26" spans="1:33" x14ac:dyDescent="0.25">
      <c r="A26" s="56" t="s">
        <v>107</v>
      </c>
      <c r="B26" s="63" t="s">
        <v>152</v>
      </c>
      <c r="C26" s="62" t="s">
        <v>158</v>
      </c>
      <c r="D26"/>
      <c r="E26" s="2" t="s">
        <v>34</v>
      </c>
      <c r="F26" s="14" t="s">
        <v>47</v>
      </c>
      <c r="G26" s="23" t="s">
        <v>60</v>
      </c>
      <c r="H26" s="13" t="s">
        <v>159</v>
      </c>
      <c r="J26" s="4" t="s">
        <v>207</v>
      </c>
      <c r="K26" s="3" t="s">
        <v>344</v>
      </c>
      <c r="L26" s="3" t="s">
        <v>327</v>
      </c>
      <c r="AB26" s="38"/>
      <c r="AC26" s="37"/>
      <c r="AD26" s="39"/>
      <c r="AE26" s="36"/>
      <c r="AF26" s="36"/>
      <c r="AG26" s="36"/>
    </row>
    <row r="27" spans="1:33" x14ac:dyDescent="0.25">
      <c r="A27" s="56" t="s">
        <v>841</v>
      </c>
      <c r="B27" s="63" t="s">
        <v>840</v>
      </c>
      <c r="C27" s="62" t="s">
        <v>158</v>
      </c>
      <c r="D27"/>
      <c r="E27" s="2" t="s">
        <v>9</v>
      </c>
      <c r="F27" s="14" t="s">
        <v>47</v>
      </c>
      <c r="G27" s="23" t="s">
        <v>61</v>
      </c>
      <c r="H27" s="13" t="s">
        <v>159</v>
      </c>
      <c r="J27" s="4" t="s">
        <v>208</v>
      </c>
      <c r="K27" s="3" t="s">
        <v>362</v>
      </c>
      <c r="L27" s="3" t="s">
        <v>157</v>
      </c>
      <c r="AB27" s="38"/>
      <c r="AC27" s="37"/>
      <c r="AD27" s="39"/>
      <c r="AE27" s="36"/>
      <c r="AF27" s="36"/>
      <c r="AG27" s="36"/>
    </row>
    <row r="28" spans="1:33" x14ac:dyDescent="0.25">
      <c r="A28" s="56" t="s">
        <v>92</v>
      </c>
      <c r="B28" s="63" t="s">
        <v>149</v>
      </c>
      <c r="C28" s="62" t="s">
        <v>158</v>
      </c>
      <c r="D28"/>
      <c r="E28" s="2" t="s">
        <v>851</v>
      </c>
      <c r="F28" s="14" t="s">
        <v>47</v>
      </c>
      <c r="G28" s="23" t="s">
        <v>855</v>
      </c>
      <c r="H28" s="13" t="s">
        <v>159</v>
      </c>
      <c r="J28" s="4" t="s">
        <v>209</v>
      </c>
      <c r="K28" s="3" t="s">
        <v>363</v>
      </c>
      <c r="L28" s="3" t="s">
        <v>158</v>
      </c>
      <c r="AB28" s="38"/>
      <c r="AC28" s="37"/>
      <c r="AD28" s="39"/>
      <c r="AE28" s="36"/>
      <c r="AF28" s="36"/>
      <c r="AG28" s="36"/>
    </row>
    <row r="29" spans="1:33" x14ac:dyDescent="0.25">
      <c r="A29" s="56" t="s">
        <v>112</v>
      </c>
      <c r="B29" s="63" t="s">
        <v>114</v>
      </c>
      <c r="C29" s="62" t="s">
        <v>158</v>
      </c>
      <c r="D29"/>
      <c r="E29" s="2" t="s">
        <v>10</v>
      </c>
      <c r="F29" s="14" t="s">
        <v>47</v>
      </c>
      <c r="G29" s="23" t="s">
        <v>856</v>
      </c>
      <c r="H29" s="13" t="s">
        <v>159</v>
      </c>
      <c r="J29" s="4" t="s">
        <v>210</v>
      </c>
      <c r="K29" s="3" t="s">
        <v>571</v>
      </c>
      <c r="L29" s="3" t="s">
        <v>203</v>
      </c>
      <c r="AB29" s="38"/>
      <c r="AC29" s="37"/>
      <c r="AD29" s="39"/>
      <c r="AE29" s="36"/>
      <c r="AF29" s="36"/>
      <c r="AG29" s="36"/>
    </row>
    <row r="30" spans="1:33" x14ac:dyDescent="0.25">
      <c r="A30" s="56" t="s">
        <v>102</v>
      </c>
      <c r="B30" s="63" t="s">
        <v>733</v>
      </c>
      <c r="C30" s="62" t="s">
        <v>158</v>
      </c>
      <c r="D30"/>
      <c r="E30" s="2" t="s">
        <v>852</v>
      </c>
      <c r="F30" s="14" t="s">
        <v>47</v>
      </c>
      <c r="G30" s="23" t="s">
        <v>857</v>
      </c>
      <c r="H30" s="13" t="s">
        <v>159</v>
      </c>
      <c r="J30" s="4" t="s">
        <v>211</v>
      </c>
      <c r="K30" s="3" t="s">
        <v>364</v>
      </c>
      <c r="L30" s="3" t="s">
        <v>157</v>
      </c>
      <c r="M30" t="str">
        <f>IF(ISNA(VLOOKUP(J18,$O$167:$P$269,2,FALSE))=TRUE,"",VLOOKUP(J18,$O$167:$P$269,2,FALSE))</f>
        <v/>
      </c>
      <c r="AB30" s="38"/>
      <c r="AC30" s="37"/>
      <c r="AD30" s="39"/>
      <c r="AE30" s="36"/>
      <c r="AF30" s="36"/>
      <c r="AG30" s="36"/>
    </row>
    <row r="31" spans="1:33" x14ac:dyDescent="0.25">
      <c r="A31" s="56" t="s">
        <v>94</v>
      </c>
      <c r="B31" s="63" t="s">
        <v>780</v>
      </c>
      <c r="C31" s="62" t="s">
        <v>158</v>
      </c>
      <c r="D31"/>
      <c r="E31" s="2" t="s">
        <v>853</v>
      </c>
      <c r="F31" s="14" t="s">
        <v>47</v>
      </c>
      <c r="G31" s="24" t="s">
        <v>858</v>
      </c>
      <c r="H31" s="13" t="s">
        <v>159</v>
      </c>
      <c r="J31" s="4" t="s">
        <v>212</v>
      </c>
      <c r="K31" s="3" t="s">
        <v>365</v>
      </c>
      <c r="L31" s="3" t="s">
        <v>158</v>
      </c>
      <c r="AB31" s="38"/>
      <c r="AC31" s="37"/>
      <c r="AD31" s="39"/>
      <c r="AE31" s="36"/>
      <c r="AF31" s="36"/>
      <c r="AG31" s="36"/>
    </row>
    <row r="32" spans="1:33" x14ac:dyDescent="0.25">
      <c r="A32" s="56" t="s">
        <v>95</v>
      </c>
      <c r="B32" s="63" t="s">
        <v>781</v>
      </c>
      <c r="C32" s="62" t="s">
        <v>158</v>
      </c>
      <c r="D32"/>
      <c r="E32" s="2" t="s">
        <v>11</v>
      </c>
      <c r="F32" s="14" t="s">
        <v>47</v>
      </c>
      <c r="G32" s="24" t="s">
        <v>859</v>
      </c>
      <c r="H32" s="13" t="s">
        <v>159</v>
      </c>
      <c r="J32" s="4" t="s">
        <v>213</v>
      </c>
      <c r="K32" s="3" t="s">
        <v>366</v>
      </c>
      <c r="L32" s="3" t="s">
        <v>159</v>
      </c>
      <c r="AB32" s="38"/>
      <c r="AC32" s="37"/>
      <c r="AD32" s="39"/>
      <c r="AE32" s="36"/>
      <c r="AF32" s="36"/>
      <c r="AG32" s="36"/>
    </row>
    <row r="33" spans="1:33" x14ac:dyDescent="0.25">
      <c r="A33" s="56" t="s">
        <v>97</v>
      </c>
      <c r="B33" s="63" t="s">
        <v>929</v>
      </c>
      <c r="C33" s="62" t="s">
        <v>158</v>
      </c>
      <c r="D33"/>
      <c r="E33" s="2" t="s">
        <v>854</v>
      </c>
      <c r="F33" s="14" t="s">
        <v>47</v>
      </c>
      <c r="G33" s="24" t="s">
        <v>860</v>
      </c>
      <c r="H33" s="13" t="s">
        <v>159</v>
      </c>
      <c r="J33" s="4" t="s">
        <v>214</v>
      </c>
      <c r="K33" s="3" t="s">
        <v>367</v>
      </c>
      <c r="L33" s="3" t="s">
        <v>215</v>
      </c>
      <c r="AB33" s="38"/>
      <c r="AC33" s="37"/>
      <c r="AD33" s="39"/>
      <c r="AE33" s="36"/>
      <c r="AF33" s="36"/>
      <c r="AG33" s="36"/>
    </row>
    <row r="34" spans="1:33" x14ac:dyDescent="0.25">
      <c r="A34" s="58" t="s">
        <v>73</v>
      </c>
      <c r="B34" s="63" t="s">
        <v>932</v>
      </c>
      <c r="C34" s="62" t="s">
        <v>162</v>
      </c>
      <c r="D34"/>
      <c r="E34" s="2" t="s">
        <v>12</v>
      </c>
      <c r="F34" s="13" t="s">
        <v>47</v>
      </c>
      <c r="G34" s="24" t="s">
        <v>62</v>
      </c>
      <c r="H34" s="13" t="s">
        <v>159</v>
      </c>
      <c r="J34" s="4" t="s">
        <v>216</v>
      </c>
      <c r="K34" s="3" t="s">
        <v>368</v>
      </c>
      <c r="L34" s="3" t="s">
        <v>160</v>
      </c>
      <c r="AB34" s="38"/>
      <c r="AC34" s="37"/>
      <c r="AD34" s="39"/>
      <c r="AE34" s="36"/>
      <c r="AF34" s="36"/>
      <c r="AG34" s="36"/>
    </row>
    <row r="35" spans="1:33" x14ac:dyDescent="0.25">
      <c r="A35" s="58" t="s">
        <v>844</v>
      </c>
      <c r="B35" s="63" t="s">
        <v>842</v>
      </c>
      <c r="C35" s="62" t="s">
        <v>764</v>
      </c>
      <c r="D35"/>
      <c r="E35" s="2" t="s">
        <v>15</v>
      </c>
      <c r="F35" s="13" t="s">
        <v>47</v>
      </c>
      <c r="G35" s="24" t="s">
        <v>679</v>
      </c>
      <c r="H35" s="13" t="s">
        <v>159</v>
      </c>
      <c r="J35" s="4" t="s">
        <v>217</v>
      </c>
      <c r="K35" s="3" t="s">
        <v>369</v>
      </c>
      <c r="L35" s="3" t="s">
        <v>160</v>
      </c>
      <c r="AB35" s="38"/>
      <c r="AC35" s="37"/>
      <c r="AD35" s="39"/>
      <c r="AE35" s="36"/>
      <c r="AF35" s="36"/>
      <c r="AG35" s="36"/>
    </row>
    <row r="36" spans="1:33" x14ac:dyDescent="0.25">
      <c r="A36" s="58" t="s">
        <v>845</v>
      </c>
      <c r="B36" s="63" t="s">
        <v>843</v>
      </c>
      <c r="C36" s="62" t="s">
        <v>203</v>
      </c>
      <c r="D36"/>
      <c r="E36" s="2" t="s">
        <v>13</v>
      </c>
      <c r="F36" s="13" t="s">
        <v>47</v>
      </c>
      <c r="G36" s="24" t="s">
        <v>773</v>
      </c>
      <c r="H36" s="13" t="s">
        <v>159</v>
      </c>
      <c r="J36" s="4" t="s">
        <v>218</v>
      </c>
      <c r="K36" s="3" t="s">
        <v>370</v>
      </c>
      <c r="L36" s="3" t="s">
        <v>160</v>
      </c>
      <c r="AB36" s="38"/>
      <c r="AC36" s="37"/>
      <c r="AD36" s="39"/>
      <c r="AE36" s="36"/>
      <c r="AF36" s="36"/>
      <c r="AG36" s="36"/>
    </row>
    <row r="37" spans="1:33" x14ac:dyDescent="0.25">
      <c r="A37" s="58" t="s">
        <v>846</v>
      </c>
      <c r="B37" s="63" t="s">
        <v>843</v>
      </c>
      <c r="C37" s="62" t="s">
        <v>203</v>
      </c>
      <c r="D37"/>
      <c r="E37" s="2" t="s">
        <v>14</v>
      </c>
      <c r="F37" s="13" t="s">
        <v>47</v>
      </c>
      <c r="G37" s="24" t="s">
        <v>770</v>
      </c>
      <c r="H37" s="13" t="s">
        <v>159</v>
      </c>
      <c r="J37" s="4" t="s">
        <v>219</v>
      </c>
      <c r="K37" s="3" t="s">
        <v>375</v>
      </c>
      <c r="L37" s="3" t="s">
        <v>185</v>
      </c>
      <c r="AB37" s="38"/>
      <c r="AC37" s="37"/>
      <c r="AD37" s="39"/>
      <c r="AE37" s="36"/>
      <c r="AF37" s="36"/>
      <c r="AG37" s="36"/>
    </row>
    <row r="38" spans="1:33" x14ac:dyDescent="0.25">
      <c r="A38" s="56" t="s">
        <v>74</v>
      </c>
      <c r="B38" s="62" t="s">
        <v>782</v>
      </c>
      <c r="C38" s="62" t="s">
        <v>163</v>
      </c>
      <c r="D38"/>
      <c r="E38" s="2" t="s">
        <v>16</v>
      </c>
      <c r="F38" s="13" t="s">
        <v>47</v>
      </c>
      <c r="G38" s="24" t="s">
        <v>642</v>
      </c>
      <c r="H38" s="13" t="s">
        <v>159</v>
      </c>
      <c r="J38" s="4" t="s">
        <v>220</v>
      </c>
      <c r="K38" s="3" t="s">
        <v>376</v>
      </c>
      <c r="L38" s="3" t="s">
        <v>221</v>
      </c>
      <c r="AB38" s="38"/>
      <c r="AC38" s="37"/>
      <c r="AD38" s="39"/>
      <c r="AE38" s="36"/>
      <c r="AF38" s="36"/>
      <c r="AG38" s="36"/>
    </row>
    <row r="39" spans="1:33" x14ac:dyDescent="0.25">
      <c r="A39" s="56" t="s">
        <v>75</v>
      </c>
      <c r="B39" s="63" t="s">
        <v>752</v>
      </c>
      <c r="C39" s="62" t="s">
        <v>203</v>
      </c>
      <c r="D39"/>
      <c r="E39" s="2" t="s">
        <v>29</v>
      </c>
      <c r="F39" s="13" t="s">
        <v>47</v>
      </c>
      <c r="G39" s="24" t="s">
        <v>63</v>
      </c>
      <c r="H39" s="13" t="s">
        <v>159</v>
      </c>
      <c r="J39" s="4" t="s">
        <v>222</v>
      </c>
      <c r="K39" s="3" t="s">
        <v>371</v>
      </c>
      <c r="L39" s="3" t="s">
        <v>205</v>
      </c>
      <c r="AB39" s="38"/>
      <c r="AC39" s="37"/>
      <c r="AD39" s="39"/>
      <c r="AE39" s="36"/>
      <c r="AF39" s="36"/>
      <c r="AG39" s="36"/>
    </row>
    <row r="40" spans="1:33" x14ac:dyDescent="0.25">
      <c r="A40" s="56" t="s">
        <v>88</v>
      </c>
      <c r="B40" s="63" t="s">
        <v>145</v>
      </c>
      <c r="C40" s="62" t="s">
        <v>185</v>
      </c>
      <c r="D40"/>
      <c r="E40" s="2" t="s">
        <v>879</v>
      </c>
      <c r="F40" s="13" t="s">
        <v>47</v>
      </c>
      <c r="G40" s="24" t="s">
        <v>880</v>
      </c>
      <c r="H40" s="13" t="s">
        <v>159</v>
      </c>
      <c r="J40" s="4" t="s">
        <v>223</v>
      </c>
      <c r="K40" s="3" t="s">
        <v>372</v>
      </c>
      <c r="L40" s="3" t="s">
        <v>205</v>
      </c>
      <c r="AB40" s="38"/>
      <c r="AC40" s="37"/>
      <c r="AD40" s="39"/>
      <c r="AE40" s="36"/>
      <c r="AF40" s="36"/>
      <c r="AG40" s="36"/>
    </row>
    <row r="41" spans="1:33" x14ac:dyDescent="0.25">
      <c r="A41" s="56" t="s">
        <v>76</v>
      </c>
      <c r="B41" s="63" t="s">
        <v>121</v>
      </c>
      <c r="C41" s="62" t="s">
        <v>163</v>
      </c>
      <c r="D41"/>
      <c r="E41" s="2" t="s">
        <v>30</v>
      </c>
      <c r="F41" s="13" t="s">
        <v>47</v>
      </c>
      <c r="G41" s="24" t="s">
        <v>64</v>
      </c>
      <c r="H41" s="13" t="s">
        <v>159</v>
      </c>
      <c r="J41" s="4" t="s">
        <v>224</v>
      </c>
      <c r="K41" s="3" t="s">
        <v>373</v>
      </c>
      <c r="L41" s="3" t="s">
        <v>205</v>
      </c>
      <c r="AB41" s="38"/>
      <c r="AC41" s="37"/>
      <c r="AD41" s="39"/>
      <c r="AE41" s="36"/>
      <c r="AF41" s="36"/>
      <c r="AG41" s="36"/>
    </row>
    <row r="42" spans="1:33" x14ac:dyDescent="0.25">
      <c r="A42" s="56" t="s">
        <v>77</v>
      </c>
      <c r="B42" s="63" t="s">
        <v>120</v>
      </c>
      <c r="C42" s="62" t="s">
        <v>160</v>
      </c>
      <c r="D42"/>
      <c r="E42" s="2" t="s">
        <v>26</v>
      </c>
      <c r="F42" s="13" t="s">
        <v>47</v>
      </c>
      <c r="G42" s="24" t="s">
        <v>65</v>
      </c>
      <c r="H42" s="13" t="s">
        <v>159</v>
      </c>
      <c r="J42" s="4" t="s">
        <v>225</v>
      </c>
      <c r="K42" s="3" t="s">
        <v>374</v>
      </c>
      <c r="L42" s="3" t="s">
        <v>205</v>
      </c>
      <c r="AB42" s="38"/>
      <c r="AC42" s="37"/>
      <c r="AD42" s="39"/>
      <c r="AE42" s="36"/>
      <c r="AF42" s="36"/>
      <c r="AG42" s="36"/>
    </row>
    <row r="43" spans="1:33" x14ac:dyDescent="0.25">
      <c r="A43" s="56" t="s">
        <v>78</v>
      </c>
      <c r="B43" s="63" t="s">
        <v>142</v>
      </c>
      <c r="C43" s="62" t="s">
        <v>159</v>
      </c>
      <c r="D43"/>
      <c r="E43" s="2" t="s">
        <v>18</v>
      </c>
      <c r="F43" s="13" t="s">
        <v>47</v>
      </c>
      <c r="G43" s="24" t="s">
        <v>66</v>
      </c>
      <c r="H43" s="13" t="s">
        <v>159</v>
      </c>
      <c r="J43" s="4" t="s">
        <v>226</v>
      </c>
      <c r="K43" s="3" t="s">
        <v>382</v>
      </c>
      <c r="L43" s="3" t="s">
        <v>160</v>
      </c>
      <c r="AB43" s="38"/>
      <c r="AC43" s="37"/>
      <c r="AD43" s="39"/>
      <c r="AE43" s="36"/>
      <c r="AF43" s="36"/>
      <c r="AG43" s="36"/>
    </row>
    <row r="44" spans="1:33" x14ac:dyDescent="0.25">
      <c r="A44" s="56" t="s">
        <v>79</v>
      </c>
      <c r="B44" s="63" t="s">
        <v>119</v>
      </c>
      <c r="C44" s="62" t="s">
        <v>160</v>
      </c>
      <c r="D44"/>
      <c r="E44" s="2" t="s">
        <v>17</v>
      </c>
      <c r="F44" s="13" t="s">
        <v>47</v>
      </c>
      <c r="G44" s="24" t="s">
        <v>67</v>
      </c>
      <c r="H44" s="13" t="s">
        <v>159</v>
      </c>
      <c r="J44" s="4" t="s">
        <v>227</v>
      </c>
      <c r="K44" s="3" t="s">
        <v>383</v>
      </c>
      <c r="L44" s="3" t="s">
        <v>160</v>
      </c>
      <c r="AB44" s="38"/>
      <c r="AC44" s="37"/>
      <c r="AD44" s="39"/>
      <c r="AE44" s="36"/>
      <c r="AF44" s="36"/>
      <c r="AG44" s="36"/>
    </row>
    <row r="45" spans="1:33" x14ac:dyDescent="0.25">
      <c r="A45" s="56" t="s">
        <v>80</v>
      </c>
      <c r="B45" s="63" t="s">
        <v>783</v>
      </c>
      <c r="C45" s="62" t="s">
        <v>160</v>
      </c>
      <c r="E45" s="2" t="s">
        <v>885</v>
      </c>
      <c r="F45" s="13" t="s">
        <v>47</v>
      </c>
      <c r="G45" s="24" t="s">
        <v>881</v>
      </c>
      <c r="H45" s="13" t="s">
        <v>159</v>
      </c>
      <c r="J45" s="4" t="s">
        <v>228</v>
      </c>
      <c r="K45" s="3" t="s">
        <v>384</v>
      </c>
      <c r="L45" s="3" t="s">
        <v>160</v>
      </c>
      <c r="M45" t="str">
        <f>IF(ISNA(VLOOKUP(J19,$O$167:$P$269,2,FALSE))=TRUE,"",VLOOKUP(J19,$O$167:$P$269,2,FALSE))</f>
        <v/>
      </c>
      <c r="AB45" s="38"/>
      <c r="AC45" s="37"/>
      <c r="AD45" s="39"/>
      <c r="AE45" s="36"/>
      <c r="AF45" s="36"/>
      <c r="AG45" s="36"/>
    </row>
    <row r="46" spans="1:33" x14ac:dyDescent="0.25">
      <c r="A46" s="56" t="s">
        <v>81</v>
      </c>
      <c r="B46" s="63" t="s">
        <v>784</v>
      </c>
      <c r="C46" s="62" t="s">
        <v>160</v>
      </c>
      <c r="E46" s="2" t="s">
        <v>886</v>
      </c>
      <c r="F46" s="13" t="s">
        <v>47</v>
      </c>
      <c r="G46" s="24" t="s">
        <v>882</v>
      </c>
      <c r="H46" s="13" t="s">
        <v>159</v>
      </c>
      <c r="J46" s="4" t="s">
        <v>229</v>
      </c>
      <c r="K46" s="3" t="s">
        <v>385</v>
      </c>
      <c r="L46" s="55" t="s">
        <v>160</v>
      </c>
      <c r="M46" t="str">
        <f>IF(ISNA(VLOOKUP(J20,$O$167:$P$269,2,FALSE))=TRUE,"",VLOOKUP(J20,$O$167:$P$269,2,FALSE))</f>
        <v/>
      </c>
      <c r="AB46" s="38"/>
      <c r="AC46" s="37"/>
      <c r="AD46" s="39"/>
      <c r="AE46" s="36"/>
      <c r="AF46" s="36"/>
      <c r="AG46" s="36"/>
    </row>
    <row r="47" spans="1:33" x14ac:dyDescent="0.25">
      <c r="A47" s="56" t="s">
        <v>82</v>
      </c>
      <c r="B47" s="63" t="s">
        <v>566</v>
      </c>
      <c r="C47" s="62" t="s">
        <v>160</v>
      </c>
      <c r="E47" s="2" t="s">
        <v>887</v>
      </c>
      <c r="F47" s="13" t="s">
        <v>47</v>
      </c>
      <c r="G47" s="24" t="s">
        <v>883</v>
      </c>
      <c r="H47" s="13" t="s">
        <v>159</v>
      </c>
      <c r="J47" s="4" t="s">
        <v>230</v>
      </c>
      <c r="K47" s="3" t="s">
        <v>386</v>
      </c>
      <c r="L47" s="3" t="s">
        <v>231</v>
      </c>
      <c r="M47" t="str">
        <f>IF(ISNA(VLOOKUP(J21,$O$167:$P$269,2,FALSE))=TRUE,"",VLOOKUP(J21,$O$167:$P$269,2,FALSE))</f>
        <v/>
      </c>
      <c r="AB47" s="38"/>
      <c r="AC47" s="37"/>
      <c r="AD47" s="39"/>
      <c r="AE47" s="36"/>
      <c r="AF47" s="36"/>
      <c r="AG47" s="36"/>
    </row>
    <row r="48" spans="1:33" x14ac:dyDescent="0.25">
      <c r="A48" s="56" t="s">
        <v>83</v>
      </c>
      <c r="B48" s="63" t="s">
        <v>115</v>
      </c>
      <c r="C48" s="62" t="s">
        <v>160</v>
      </c>
      <c r="E48" s="2" t="s">
        <v>888</v>
      </c>
      <c r="F48" s="13" t="s">
        <v>47</v>
      </c>
      <c r="G48" s="24" t="s">
        <v>884</v>
      </c>
      <c r="H48" s="13" t="s">
        <v>159</v>
      </c>
      <c r="J48" s="4" t="s">
        <v>232</v>
      </c>
      <c r="K48" s="3" t="s">
        <v>387</v>
      </c>
      <c r="L48" s="3" t="s">
        <v>231</v>
      </c>
      <c r="AB48" s="38"/>
      <c r="AC48" s="37"/>
      <c r="AD48" s="39"/>
      <c r="AE48" s="36"/>
      <c r="AF48" s="36"/>
      <c r="AG48" s="36"/>
    </row>
    <row r="49" spans="1:33" x14ac:dyDescent="0.25">
      <c r="A49" s="58" t="s">
        <v>84</v>
      </c>
      <c r="B49" s="63" t="s">
        <v>734</v>
      </c>
      <c r="C49" s="63" t="s">
        <v>160</v>
      </c>
      <c r="E49" s="2" t="s">
        <v>23</v>
      </c>
      <c r="F49" s="13" t="s">
        <v>47</v>
      </c>
      <c r="G49" s="24" t="s">
        <v>68</v>
      </c>
      <c r="H49" s="13" t="s">
        <v>159</v>
      </c>
      <c r="J49" s="4" t="s">
        <v>233</v>
      </c>
      <c r="K49" s="3" t="s">
        <v>395</v>
      </c>
      <c r="L49" s="3" t="s">
        <v>185</v>
      </c>
      <c r="M49" t="str">
        <f t="shared" ref="M49:M69" si="0">IF(ISNA(VLOOKUP(J26,$O$167:$P$269,2,FALSE))=TRUE,"",VLOOKUP(J26,$O$167:$P$269,2,FALSE))</f>
        <v/>
      </c>
      <c r="AB49" s="38"/>
      <c r="AC49" s="37"/>
      <c r="AD49" s="39"/>
      <c r="AE49" s="36"/>
      <c r="AF49" s="36"/>
      <c r="AG49" s="36"/>
    </row>
    <row r="50" spans="1:33" x14ac:dyDescent="0.25">
      <c r="A50" s="58" t="s">
        <v>85</v>
      </c>
      <c r="B50" s="63" t="s">
        <v>116</v>
      </c>
      <c r="C50" s="63" t="s">
        <v>160</v>
      </c>
      <c r="E50" s="2" t="s">
        <v>889</v>
      </c>
      <c r="F50" s="13" t="s">
        <v>47</v>
      </c>
      <c r="G50" s="24" t="s">
        <v>890</v>
      </c>
      <c r="H50" s="13" t="s">
        <v>159</v>
      </c>
      <c r="J50" s="4" t="s">
        <v>234</v>
      </c>
      <c r="K50" s="3" t="s">
        <v>397</v>
      </c>
      <c r="L50" s="3" t="s">
        <v>185</v>
      </c>
      <c r="M50" t="str">
        <f t="shared" si="0"/>
        <v/>
      </c>
      <c r="AB50" s="38"/>
      <c r="AC50" s="37"/>
      <c r="AD50" s="39"/>
      <c r="AE50" s="36"/>
      <c r="AF50" s="36"/>
      <c r="AG50" s="36"/>
    </row>
    <row r="51" spans="1:33" x14ac:dyDescent="0.25">
      <c r="A51" s="58" t="s">
        <v>86</v>
      </c>
      <c r="B51" s="63" t="s">
        <v>117</v>
      </c>
      <c r="C51" s="63" t="s">
        <v>160</v>
      </c>
      <c r="E51" s="2" t="s">
        <v>32</v>
      </c>
      <c r="F51" s="13" t="s">
        <v>47</v>
      </c>
      <c r="G51" s="24" t="s">
        <v>69</v>
      </c>
      <c r="H51" s="13" t="s">
        <v>159</v>
      </c>
      <c r="J51" s="4" t="s">
        <v>235</v>
      </c>
      <c r="K51" s="3" t="s">
        <v>399</v>
      </c>
      <c r="L51" s="3" t="s">
        <v>231</v>
      </c>
      <c r="M51" t="str">
        <f t="shared" si="0"/>
        <v/>
      </c>
      <c r="AB51" s="38"/>
      <c r="AC51" s="37"/>
      <c r="AD51" s="39"/>
      <c r="AE51" s="36"/>
      <c r="AF51" s="36"/>
      <c r="AG51" s="36"/>
    </row>
    <row r="52" spans="1:33" x14ac:dyDescent="0.25">
      <c r="A52" s="81" t="s">
        <v>861</v>
      </c>
      <c r="B52" s="72" t="s">
        <v>862</v>
      </c>
      <c r="C52" s="72" t="s">
        <v>764</v>
      </c>
      <c r="E52" s="4" t="s">
        <v>927</v>
      </c>
      <c r="F52" s="13" t="s">
        <v>47</v>
      </c>
      <c r="G52" s="3" t="s">
        <v>774</v>
      </c>
      <c r="H52" s="13" t="s">
        <v>159</v>
      </c>
      <c r="J52" s="4" t="s">
        <v>236</v>
      </c>
      <c r="K52" s="3" t="s">
        <v>398</v>
      </c>
      <c r="L52" s="3" t="s">
        <v>185</v>
      </c>
      <c r="M52" t="str">
        <f t="shared" si="0"/>
        <v/>
      </c>
      <c r="AB52" s="38"/>
      <c r="AC52" s="37"/>
      <c r="AD52" s="39"/>
      <c r="AE52" s="36"/>
      <c r="AF52" s="36"/>
      <c r="AG52" s="36"/>
    </row>
    <row r="53" spans="1:33" x14ac:dyDescent="0.25">
      <c r="A53" s="82" t="s">
        <v>87</v>
      </c>
      <c r="B53" s="73" t="s">
        <v>118</v>
      </c>
      <c r="C53" s="73" t="s">
        <v>160</v>
      </c>
      <c r="E53" s="2" t="s">
        <v>21</v>
      </c>
      <c r="F53" s="13" t="s">
        <v>47</v>
      </c>
      <c r="G53" s="12" t="s">
        <v>775</v>
      </c>
      <c r="H53" s="13" t="s">
        <v>159</v>
      </c>
      <c r="J53" s="4" t="s">
        <v>237</v>
      </c>
      <c r="K53" s="3" t="s">
        <v>388</v>
      </c>
      <c r="L53" s="3" t="s">
        <v>205</v>
      </c>
      <c r="M53" t="str">
        <f t="shared" si="0"/>
        <v/>
      </c>
      <c r="AB53" s="38"/>
      <c r="AC53" s="37"/>
      <c r="AD53" s="39"/>
      <c r="AE53" s="36"/>
      <c r="AF53" s="36"/>
      <c r="AG53" s="36"/>
    </row>
    <row r="54" spans="1:33" x14ac:dyDescent="0.25">
      <c r="A54" s="83" t="s">
        <v>863</v>
      </c>
      <c r="B54" s="12" t="s">
        <v>864</v>
      </c>
      <c r="C54" s="80" t="s">
        <v>764</v>
      </c>
      <c r="E54" s="2" t="s">
        <v>22</v>
      </c>
      <c r="F54" s="13" t="s">
        <v>47</v>
      </c>
      <c r="G54" s="12" t="s">
        <v>776</v>
      </c>
      <c r="H54" s="13" t="s">
        <v>159</v>
      </c>
      <c r="J54" s="4" t="s">
        <v>238</v>
      </c>
      <c r="K54" s="3" t="s">
        <v>389</v>
      </c>
      <c r="L54" s="3" t="s">
        <v>205</v>
      </c>
      <c r="M54" t="str">
        <f t="shared" si="0"/>
        <v/>
      </c>
      <c r="AB54" s="38"/>
      <c r="AC54" s="37"/>
      <c r="AD54" s="39"/>
      <c r="AE54" s="36"/>
      <c r="AF54" s="36"/>
      <c r="AG54" s="36"/>
    </row>
    <row r="55" spans="1:33" x14ac:dyDescent="0.25">
      <c r="A55" s="65" t="s">
        <v>572</v>
      </c>
      <c r="B55" s="60" t="s">
        <v>555</v>
      </c>
      <c r="C55" s="60" t="s">
        <v>158</v>
      </c>
      <c r="E55" s="2" t="s">
        <v>891</v>
      </c>
      <c r="F55" s="13" t="s">
        <v>47</v>
      </c>
      <c r="G55" s="12" t="s">
        <v>892</v>
      </c>
      <c r="H55" s="13" t="s">
        <v>159</v>
      </c>
      <c r="J55" s="4" t="s">
        <v>239</v>
      </c>
      <c r="K55" s="3" t="s">
        <v>390</v>
      </c>
      <c r="L55" s="3" t="s">
        <v>205</v>
      </c>
      <c r="M55" t="str">
        <f t="shared" si="0"/>
        <v/>
      </c>
      <c r="AB55" s="38"/>
      <c r="AC55" s="37"/>
      <c r="AD55" s="39"/>
      <c r="AE55" s="36"/>
      <c r="AF55" s="36"/>
      <c r="AG55" s="36"/>
    </row>
    <row r="56" spans="1:33" x14ac:dyDescent="0.25">
      <c r="A56" s="65" t="s">
        <v>573</v>
      </c>
      <c r="B56" s="60" t="s">
        <v>556</v>
      </c>
      <c r="C56" s="60" t="s">
        <v>189</v>
      </c>
      <c r="E56" s="4" t="s">
        <v>926</v>
      </c>
      <c r="F56" s="13" t="s">
        <v>47</v>
      </c>
      <c r="G56" s="3" t="s">
        <v>570</v>
      </c>
      <c r="H56" s="13" t="s">
        <v>159</v>
      </c>
      <c r="J56" s="4" t="s">
        <v>240</v>
      </c>
      <c r="K56" s="3" t="s">
        <v>396</v>
      </c>
      <c r="L56" s="3" t="s">
        <v>205</v>
      </c>
      <c r="M56" t="str">
        <f t="shared" si="0"/>
        <v/>
      </c>
      <c r="AB56" s="38"/>
      <c r="AC56" s="37"/>
      <c r="AD56" s="39"/>
      <c r="AE56" s="36"/>
      <c r="AF56" s="36"/>
      <c r="AG56" s="36"/>
    </row>
    <row r="57" spans="1:33" x14ac:dyDescent="0.25">
      <c r="A57" s="65" t="s">
        <v>574</v>
      </c>
      <c r="B57" s="60" t="s">
        <v>559</v>
      </c>
      <c r="C57" s="60" t="s">
        <v>158</v>
      </c>
      <c r="E57" s="2" t="s">
        <v>19</v>
      </c>
      <c r="F57" s="13" t="s">
        <v>47</v>
      </c>
      <c r="G57" s="12" t="s">
        <v>139</v>
      </c>
      <c r="H57" s="13" t="s">
        <v>159</v>
      </c>
      <c r="J57" s="4" t="s">
        <v>241</v>
      </c>
      <c r="K57" s="3" t="s">
        <v>391</v>
      </c>
      <c r="L57" s="3" t="s">
        <v>205</v>
      </c>
      <c r="M57" t="str">
        <f t="shared" si="0"/>
        <v/>
      </c>
      <c r="AB57" s="38"/>
      <c r="AC57" s="37"/>
      <c r="AD57" s="39"/>
      <c r="AE57" s="36"/>
      <c r="AF57" s="36"/>
      <c r="AG57" s="36"/>
    </row>
    <row r="58" spans="1:33" x14ac:dyDescent="0.25">
      <c r="A58" s="65" t="s">
        <v>575</v>
      </c>
      <c r="B58" s="60" t="s">
        <v>558</v>
      </c>
      <c r="C58" s="60" t="s">
        <v>189</v>
      </c>
      <c r="E58" s="2" t="s">
        <v>20</v>
      </c>
      <c r="F58" s="13" t="s">
        <v>47</v>
      </c>
      <c r="G58" s="12" t="s">
        <v>140</v>
      </c>
      <c r="H58" s="13" t="s">
        <v>159</v>
      </c>
      <c r="J58" s="4" t="s">
        <v>242</v>
      </c>
      <c r="K58" s="3" t="s">
        <v>394</v>
      </c>
      <c r="L58" s="3" t="s">
        <v>205</v>
      </c>
      <c r="M58" t="str">
        <f t="shared" si="0"/>
        <v/>
      </c>
      <c r="AB58" s="38"/>
      <c r="AC58" s="37"/>
      <c r="AD58" s="39"/>
      <c r="AE58" s="36"/>
      <c r="AF58" s="36"/>
      <c r="AG58" s="36"/>
    </row>
    <row r="59" spans="1:33" x14ac:dyDescent="0.25">
      <c r="A59" s="65" t="s">
        <v>576</v>
      </c>
      <c r="B59" s="60" t="s">
        <v>557</v>
      </c>
      <c r="C59" s="60" t="s">
        <v>158</v>
      </c>
      <c r="E59" s="2" t="s">
        <v>28</v>
      </c>
      <c r="F59" s="13" t="s">
        <v>47</v>
      </c>
      <c r="G59" s="12" t="s">
        <v>643</v>
      </c>
      <c r="H59" s="13" t="s">
        <v>159</v>
      </c>
      <c r="J59" s="4" t="s">
        <v>243</v>
      </c>
      <c r="K59" s="3" t="s">
        <v>392</v>
      </c>
      <c r="L59" s="3" t="s">
        <v>205</v>
      </c>
      <c r="M59" t="str">
        <f t="shared" si="0"/>
        <v/>
      </c>
      <c r="AB59" s="38"/>
      <c r="AC59" s="37"/>
      <c r="AD59" s="39"/>
      <c r="AE59" s="36"/>
      <c r="AF59" s="36"/>
      <c r="AG59" s="36"/>
    </row>
    <row r="60" spans="1:33" x14ac:dyDescent="0.25">
      <c r="A60" s="65" t="s">
        <v>577</v>
      </c>
      <c r="B60" s="60" t="s">
        <v>560</v>
      </c>
      <c r="C60" s="60" t="s">
        <v>189</v>
      </c>
      <c r="E60" s="2" t="s">
        <v>24</v>
      </c>
      <c r="F60" s="13" t="s">
        <v>47</v>
      </c>
      <c r="G60" s="24" t="s">
        <v>70</v>
      </c>
      <c r="H60" s="13" t="s">
        <v>159</v>
      </c>
      <c r="J60" s="4" t="s">
        <v>244</v>
      </c>
      <c r="K60" s="3" t="s">
        <v>393</v>
      </c>
      <c r="L60" s="3" t="s">
        <v>205</v>
      </c>
      <c r="M60" t="str">
        <f t="shared" si="0"/>
        <v/>
      </c>
      <c r="AB60" s="38"/>
      <c r="AC60" s="37"/>
      <c r="AD60" s="39"/>
      <c r="AE60" s="36"/>
      <c r="AF60" s="36"/>
      <c r="AG60" s="36"/>
    </row>
    <row r="61" spans="1:33" x14ac:dyDescent="0.25">
      <c r="A61" s="65" t="s">
        <v>756</v>
      </c>
      <c r="B61" s="60" t="s">
        <v>758</v>
      </c>
      <c r="C61" s="60" t="s">
        <v>158</v>
      </c>
      <c r="E61" s="2" t="s">
        <v>25</v>
      </c>
      <c r="F61" s="13" t="s">
        <v>47</v>
      </c>
      <c r="G61" s="24" t="s">
        <v>71</v>
      </c>
      <c r="H61" s="13" t="s">
        <v>159</v>
      </c>
      <c r="J61" s="4" t="s">
        <v>245</v>
      </c>
      <c r="K61" s="3" t="s">
        <v>532</v>
      </c>
      <c r="L61" s="3" t="s">
        <v>246</v>
      </c>
      <c r="M61" t="str">
        <f t="shared" si="0"/>
        <v/>
      </c>
      <c r="AB61" s="38"/>
      <c r="AC61" s="37"/>
      <c r="AD61" s="39"/>
      <c r="AE61" s="36"/>
      <c r="AF61" s="36"/>
      <c r="AG61" s="36"/>
    </row>
    <row r="62" spans="1:33" x14ac:dyDescent="0.25">
      <c r="A62" s="65" t="s">
        <v>755</v>
      </c>
      <c r="B62" s="60" t="s">
        <v>763</v>
      </c>
      <c r="C62" s="60" t="s">
        <v>760</v>
      </c>
      <c r="E62" s="2" t="s">
        <v>27</v>
      </c>
      <c r="F62" s="13" t="s">
        <v>47</v>
      </c>
      <c r="G62" s="24" t="s">
        <v>72</v>
      </c>
      <c r="H62" s="13" t="s">
        <v>159</v>
      </c>
      <c r="J62" s="4" t="s">
        <v>247</v>
      </c>
      <c r="K62" s="3" t="s">
        <v>426</v>
      </c>
      <c r="L62" s="3" t="s">
        <v>203</v>
      </c>
      <c r="M62" t="str">
        <f t="shared" si="0"/>
        <v/>
      </c>
      <c r="AB62" s="38"/>
      <c r="AC62" s="37"/>
      <c r="AD62" s="39"/>
      <c r="AE62" s="36"/>
      <c r="AF62" s="36"/>
      <c r="AG62" s="36"/>
    </row>
    <row r="63" spans="1:33" x14ac:dyDescent="0.25">
      <c r="A63" s="65" t="s">
        <v>757</v>
      </c>
      <c r="B63" s="60" t="s">
        <v>759</v>
      </c>
      <c r="C63" s="60" t="s">
        <v>158</v>
      </c>
      <c r="E63" s="2" t="s">
        <v>31</v>
      </c>
      <c r="F63" s="13" t="s">
        <v>141</v>
      </c>
      <c r="G63" s="24" t="s">
        <v>638</v>
      </c>
      <c r="H63" s="13" t="s">
        <v>159</v>
      </c>
      <c r="J63" s="4" t="s">
        <v>248</v>
      </c>
      <c r="K63" s="3" t="s">
        <v>534</v>
      </c>
      <c r="L63" s="3" t="s">
        <v>249</v>
      </c>
      <c r="M63" t="str">
        <f t="shared" si="0"/>
        <v/>
      </c>
      <c r="AB63" s="38"/>
      <c r="AC63" s="37"/>
      <c r="AD63" s="39"/>
      <c r="AE63" s="36"/>
      <c r="AF63" s="36"/>
      <c r="AG63" s="36"/>
    </row>
    <row r="64" spans="1:33" x14ac:dyDescent="0.25">
      <c r="A64" s="65" t="s">
        <v>769</v>
      </c>
      <c r="B64" s="60" t="s">
        <v>762</v>
      </c>
      <c r="C64" s="60" t="s">
        <v>761</v>
      </c>
      <c r="E64" s="2" t="s">
        <v>894</v>
      </c>
      <c r="F64" s="13" t="s">
        <v>141</v>
      </c>
      <c r="G64" s="24" t="s">
        <v>893</v>
      </c>
      <c r="H64" s="13" t="s">
        <v>160</v>
      </c>
      <c r="J64" s="4" t="s">
        <v>250</v>
      </c>
      <c r="K64" s="3" t="s">
        <v>533</v>
      </c>
      <c r="L64" s="3" t="s">
        <v>251</v>
      </c>
      <c r="M64" t="str">
        <f t="shared" si="0"/>
        <v/>
      </c>
      <c r="AB64" s="38"/>
      <c r="AC64" s="37"/>
      <c r="AD64" s="39"/>
      <c r="AE64" s="36"/>
      <c r="AF64" s="36"/>
      <c r="AG64" s="36"/>
    </row>
    <row r="65" spans="1:33" x14ac:dyDescent="0.25">
      <c r="A65" s="65" t="s">
        <v>765</v>
      </c>
      <c r="B65" s="60" t="s">
        <v>917</v>
      </c>
      <c r="C65" s="60" t="s">
        <v>158</v>
      </c>
      <c r="E65" s="2" t="s">
        <v>33</v>
      </c>
      <c r="F65" s="13" t="s">
        <v>141</v>
      </c>
      <c r="G65" s="24" t="s">
        <v>639</v>
      </c>
      <c r="H65" s="13" t="s">
        <v>160</v>
      </c>
      <c r="J65" s="4" t="s">
        <v>252</v>
      </c>
      <c r="K65" s="3" t="s">
        <v>428</v>
      </c>
      <c r="L65" s="3" t="s">
        <v>221</v>
      </c>
      <c r="M65" t="str">
        <f t="shared" si="0"/>
        <v/>
      </c>
      <c r="AB65" s="38"/>
      <c r="AC65" s="37"/>
      <c r="AD65" s="39"/>
      <c r="AE65" s="36"/>
      <c r="AF65" s="36"/>
      <c r="AG65" s="36"/>
    </row>
    <row r="66" spans="1:33" x14ac:dyDescent="0.25">
      <c r="A66" s="65" t="s">
        <v>918</v>
      </c>
      <c r="B66" s="60" t="s">
        <v>920</v>
      </c>
      <c r="C66" s="60" t="s">
        <v>764</v>
      </c>
      <c r="E66" s="65" t="s">
        <v>753</v>
      </c>
      <c r="F66" s="60" t="s">
        <v>47</v>
      </c>
      <c r="G66" s="60" t="s">
        <v>754</v>
      </c>
      <c r="H66" s="60" t="s">
        <v>159</v>
      </c>
      <c r="J66" s="4" t="s">
        <v>253</v>
      </c>
      <c r="K66" s="3" t="s">
        <v>429</v>
      </c>
      <c r="L66" s="3" t="s">
        <v>231</v>
      </c>
      <c r="M66" t="str">
        <f t="shared" si="0"/>
        <v/>
      </c>
      <c r="AB66" s="38"/>
      <c r="AC66" s="37"/>
      <c r="AD66" s="39"/>
      <c r="AE66" s="36"/>
      <c r="AF66" s="36"/>
      <c r="AG66" s="36"/>
    </row>
    <row r="67" spans="1:33" x14ac:dyDescent="0.25">
      <c r="A67" s="65" t="s">
        <v>919</v>
      </c>
      <c r="B67" s="60" t="s">
        <v>912</v>
      </c>
      <c r="C67" s="60" t="s">
        <v>158</v>
      </c>
      <c r="E67" s="65" t="s">
        <v>505</v>
      </c>
      <c r="F67" s="70" t="s">
        <v>561</v>
      </c>
      <c r="G67" s="60" t="s">
        <v>644</v>
      </c>
      <c r="H67" s="60" t="s">
        <v>488</v>
      </c>
      <c r="J67" s="4" t="s">
        <v>254</v>
      </c>
      <c r="K67" s="3" t="s">
        <v>430</v>
      </c>
      <c r="L67" s="3" t="s">
        <v>159</v>
      </c>
      <c r="M67" t="str">
        <f t="shared" si="0"/>
        <v/>
      </c>
      <c r="AB67" s="38"/>
      <c r="AC67" s="37"/>
      <c r="AD67" s="39"/>
      <c r="AE67" s="36"/>
      <c r="AF67" s="36"/>
      <c r="AG67" s="36"/>
    </row>
    <row r="68" spans="1:33" x14ac:dyDescent="0.25">
      <c r="A68" s="65" t="s">
        <v>911</v>
      </c>
      <c r="B68" s="60" t="s">
        <v>922</v>
      </c>
      <c r="C68" s="60" t="s">
        <v>158</v>
      </c>
      <c r="E68" s="65" t="s">
        <v>490</v>
      </c>
      <c r="F68" s="70" t="s">
        <v>561</v>
      </c>
      <c r="G68" s="60" t="s">
        <v>645</v>
      </c>
      <c r="H68" s="60" t="s">
        <v>488</v>
      </c>
      <c r="J68" s="4" t="s">
        <v>255</v>
      </c>
      <c r="K68" s="3" t="s">
        <v>431</v>
      </c>
      <c r="L68" s="3" t="s">
        <v>246</v>
      </c>
      <c r="M68" t="str">
        <f t="shared" si="0"/>
        <v/>
      </c>
      <c r="AB68" s="38"/>
      <c r="AC68" s="37"/>
      <c r="AD68" s="39"/>
      <c r="AE68" s="36"/>
      <c r="AF68" s="36"/>
      <c r="AG68" s="36"/>
    </row>
    <row r="69" spans="1:33" x14ac:dyDescent="0.25">
      <c r="A69" s="65" t="s">
        <v>909</v>
      </c>
      <c r="B69" s="60" t="s">
        <v>923</v>
      </c>
      <c r="C69" s="60" t="s">
        <v>764</v>
      </c>
      <c r="E69" s="65" t="s">
        <v>509</v>
      </c>
      <c r="F69" s="70" t="s">
        <v>561</v>
      </c>
      <c r="G69" s="60" t="s">
        <v>646</v>
      </c>
      <c r="H69" s="60" t="s">
        <v>488</v>
      </c>
      <c r="J69" s="4" t="s">
        <v>256</v>
      </c>
      <c r="K69" s="3" t="s">
        <v>432</v>
      </c>
      <c r="L69" s="3" t="s">
        <v>246</v>
      </c>
      <c r="M69" t="str">
        <f t="shared" si="0"/>
        <v/>
      </c>
      <c r="AB69" s="38"/>
      <c r="AC69" s="37"/>
      <c r="AD69" s="39"/>
      <c r="AE69" s="36"/>
      <c r="AF69" s="36"/>
      <c r="AG69" s="36"/>
    </row>
    <row r="70" spans="1:33" x14ac:dyDescent="0.25">
      <c r="A70" s="65" t="s">
        <v>910</v>
      </c>
      <c r="B70" s="60" t="s">
        <v>924</v>
      </c>
      <c r="C70" s="60" t="s">
        <v>764</v>
      </c>
      <c r="E70" s="65" t="s">
        <v>510</v>
      </c>
      <c r="F70" s="70" t="s">
        <v>561</v>
      </c>
      <c r="G70" s="60" t="s">
        <v>647</v>
      </c>
      <c r="H70" s="60" t="s">
        <v>488</v>
      </c>
      <c r="I70" s="18"/>
      <c r="J70" s="4" t="s">
        <v>257</v>
      </c>
      <c r="K70" s="3" t="s">
        <v>446</v>
      </c>
      <c r="L70" s="3" t="s">
        <v>185</v>
      </c>
      <c r="AB70" s="38"/>
      <c r="AC70" s="37"/>
      <c r="AD70" s="39"/>
      <c r="AE70" s="36"/>
      <c r="AF70" s="36"/>
      <c r="AG70" s="36"/>
    </row>
    <row r="71" spans="1:33" x14ac:dyDescent="0.25">
      <c r="A71" s="65" t="s">
        <v>930</v>
      </c>
      <c r="B71" s="60" t="s">
        <v>921</v>
      </c>
      <c r="C71" s="60" t="s">
        <v>158</v>
      </c>
      <c r="E71" s="65" t="s">
        <v>506</v>
      </c>
      <c r="F71" s="70" t="s">
        <v>561</v>
      </c>
      <c r="G71" s="60" t="s">
        <v>648</v>
      </c>
      <c r="H71" s="60" t="s">
        <v>488</v>
      </c>
      <c r="J71" s="4" t="s">
        <v>258</v>
      </c>
      <c r="K71" s="3" t="s">
        <v>433</v>
      </c>
      <c r="L71" s="3" t="s">
        <v>221</v>
      </c>
      <c r="AB71" s="38"/>
      <c r="AC71" s="37"/>
      <c r="AD71" s="39"/>
      <c r="AE71" s="36"/>
      <c r="AF71" s="36"/>
      <c r="AG71" s="36"/>
    </row>
    <row r="72" spans="1:33" x14ac:dyDescent="0.25">
      <c r="E72" s="65" t="s">
        <v>507</v>
      </c>
      <c r="F72" s="70" t="s">
        <v>561</v>
      </c>
      <c r="G72" s="60" t="s">
        <v>649</v>
      </c>
      <c r="H72" s="60" t="s">
        <v>488</v>
      </c>
      <c r="J72" s="4" t="s">
        <v>259</v>
      </c>
      <c r="K72" s="3" t="s">
        <v>434</v>
      </c>
      <c r="L72" s="3" t="s">
        <v>231</v>
      </c>
      <c r="AB72" s="38"/>
      <c r="AC72" s="37"/>
      <c r="AD72" s="39"/>
      <c r="AE72" s="36"/>
      <c r="AF72" s="36"/>
      <c r="AG72" s="36"/>
    </row>
    <row r="73" spans="1:33" x14ac:dyDescent="0.25">
      <c r="E73" s="65" t="s">
        <v>508</v>
      </c>
      <c r="F73" s="70" t="s">
        <v>561</v>
      </c>
      <c r="G73" s="60" t="s">
        <v>650</v>
      </c>
      <c r="H73" s="60" t="s">
        <v>488</v>
      </c>
      <c r="J73" s="4" t="s">
        <v>260</v>
      </c>
      <c r="K73" s="3" t="s">
        <v>435</v>
      </c>
      <c r="L73" s="3" t="s">
        <v>159</v>
      </c>
      <c r="AB73" s="38"/>
      <c r="AC73" s="37"/>
      <c r="AD73" s="39"/>
      <c r="AE73" s="36"/>
      <c r="AF73" s="36"/>
      <c r="AG73" s="36"/>
    </row>
    <row r="74" spans="1:33" x14ac:dyDescent="0.25">
      <c r="E74" s="65" t="s">
        <v>489</v>
      </c>
      <c r="F74" s="70" t="s">
        <v>561</v>
      </c>
      <c r="G74" s="60" t="s">
        <v>651</v>
      </c>
      <c r="H74" s="60" t="s">
        <v>488</v>
      </c>
      <c r="J74" s="4" t="s">
        <v>261</v>
      </c>
      <c r="K74" s="3" t="s">
        <v>436</v>
      </c>
      <c r="L74" s="3" t="s">
        <v>246</v>
      </c>
      <c r="AB74" s="38"/>
      <c r="AC74" s="37"/>
      <c r="AD74" s="39"/>
      <c r="AE74" s="36"/>
      <c r="AF74" s="36"/>
      <c r="AG74" s="36"/>
    </row>
    <row r="75" spans="1:33" x14ac:dyDescent="0.25">
      <c r="E75" s="65" t="s">
        <v>495</v>
      </c>
      <c r="F75" s="70" t="s">
        <v>561</v>
      </c>
      <c r="G75" s="60" t="s">
        <v>652</v>
      </c>
      <c r="H75" s="60" t="s">
        <v>488</v>
      </c>
      <c r="J75" s="4" t="s">
        <v>262</v>
      </c>
      <c r="K75" s="3" t="s">
        <v>437</v>
      </c>
      <c r="L75" s="3" t="s">
        <v>246</v>
      </c>
      <c r="AB75" s="38"/>
      <c r="AC75" s="37"/>
      <c r="AD75" s="39"/>
      <c r="AE75" s="36"/>
      <c r="AF75" s="36"/>
      <c r="AG75" s="36"/>
    </row>
    <row r="76" spans="1:33" x14ac:dyDescent="0.25">
      <c r="E76" s="65" t="s">
        <v>525</v>
      </c>
      <c r="F76" s="70" t="s">
        <v>561</v>
      </c>
      <c r="G76" s="60" t="s">
        <v>673</v>
      </c>
      <c r="H76" s="60" t="s">
        <v>488</v>
      </c>
      <c r="J76" s="4" t="s">
        <v>263</v>
      </c>
      <c r="K76" s="3" t="s">
        <v>447</v>
      </c>
      <c r="L76" s="3" t="s">
        <v>185</v>
      </c>
      <c r="AB76" s="38"/>
      <c r="AC76" s="37"/>
      <c r="AD76" s="39"/>
      <c r="AE76" s="36"/>
      <c r="AF76" s="36"/>
      <c r="AG76" s="36"/>
    </row>
    <row r="77" spans="1:33" x14ac:dyDescent="0.25">
      <c r="E77" s="65" t="s">
        <v>523</v>
      </c>
      <c r="F77" s="70" t="s">
        <v>561</v>
      </c>
      <c r="G77" s="60" t="s">
        <v>653</v>
      </c>
      <c r="H77" s="60" t="s">
        <v>488</v>
      </c>
      <c r="J77" s="4" t="s">
        <v>264</v>
      </c>
      <c r="K77" s="3" t="s">
        <v>438</v>
      </c>
      <c r="L77" s="3" t="s">
        <v>221</v>
      </c>
      <c r="AB77" s="38"/>
      <c r="AC77" s="37"/>
      <c r="AD77" s="39"/>
      <c r="AE77" s="36"/>
      <c r="AF77" s="36"/>
      <c r="AG77" s="36"/>
    </row>
    <row r="78" spans="1:33" x14ac:dyDescent="0.25">
      <c r="E78" s="65" t="s">
        <v>524</v>
      </c>
      <c r="F78" s="70" t="s">
        <v>561</v>
      </c>
      <c r="G78" s="60" t="s">
        <v>654</v>
      </c>
      <c r="H78" s="60" t="s">
        <v>488</v>
      </c>
      <c r="J78" s="4" t="s">
        <v>265</v>
      </c>
      <c r="K78" s="3" t="s">
        <v>439</v>
      </c>
      <c r="L78" s="3" t="s">
        <v>231</v>
      </c>
      <c r="AB78" s="40"/>
      <c r="AC78" s="37"/>
      <c r="AD78" s="39"/>
      <c r="AE78" s="36"/>
      <c r="AF78" s="36"/>
      <c r="AG78" s="36"/>
    </row>
    <row r="79" spans="1:33" x14ac:dyDescent="0.25">
      <c r="E79" s="71" t="s">
        <v>487</v>
      </c>
      <c r="F79" s="70" t="s">
        <v>561</v>
      </c>
      <c r="G79" s="60" t="s">
        <v>655</v>
      </c>
      <c r="H79" s="60" t="s">
        <v>488</v>
      </c>
      <c r="J79" s="4" t="s">
        <v>266</v>
      </c>
      <c r="K79" s="3" t="s">
        <v>442</v>
      </c>
      <c r="L79" s="3" t="s">
        <v>159</v>
      </c>
      <c r="AB79" s="40"/>
      <c r="AC79" s="37"/>
      <c r="AD79" s="39"/>
      <c r="AE79" s="36"/>
      <c r="AF79" s="36"/>
      <c r="AG79" s="36"/>
    </row>
    <row r="80" spans="1:33" x14ac:dyDescent="0.25">
      <c r="E80" s="71" t="s">
        <v>866</v>
      </c>
      <c r="F80" s="70" t="s">
        <v>561</v>
      </c>
      <c r="G80" s="60" t="s">
        <v>871</v>
      </c>
      <c r="H80" s="60" t="s">
        <v>488</v>
      </c>
      <c r="J80" s="4" t="s">
        <v>267</v>
      </c>
      <c r="K80" s="3" t="s">
        <v>440</v>
      </c>
      <c r="L80" s="3" t="s">
        <v>246</v>
      </c>
      <c r="AB80" s="40"/>
      <c r="AC80" s="37"/>
      <c r="AD80" s="39"/>
      <c r="AE80" s="36"/>
      <c r="AF80" s="36"/>
      <c r="AG80" s="36"/>
    </row>
    <row r="81" spans="5:33" x14ac:dyDescent="0.25">
      <c r="E81" s="71" t="s">
        <v>868</v>
      </c>
      <c r="F81" s="70" t="s">
        <v>561</v>
      </c>
      <c r="G81" s="60" t="s">
        <v>873</v>
      </c>
      <c r="H81" s="60" t="s">
        <v>488</v>
      </c>
      <c r="J81" s="4" t="s">
        <v>268</v>
      </c>
      <c r="K81" s="3" t="s">
        <v>441</v>
      </c>
      <c r="L81" s="3" t="s">
        <v>246</v>
      </c>
      <c r="AB81" s="40"/>
      <c r="AC81" s="37"/>
      <c r="AD81" s="39"/>
      <c r="AE81" s="36"/>
      <c r="AF81" s="36"/>
      <c r="AG81" s="36"/>
    </row>
    <row r="82" spans="5:33" x14ac:dyDescent="0.25">
      <c r="E82" s="65" t="s">
        <v>527</v>
      </c>
      <c r="F82" s="70" t="s">
        <v>561</v>
      </c>
      <c r="G82" s="60" t="s">
        <v>656</v>
      </c>
      <c r="H82" s="60" t="s">
        <v>488</v>
      </c>
      <c r="J82" s="4" t="s">
        <v>269</v>
      </c>
      <c r="K82" s="3" t="s">
        <v>443</v>
      </c>
      <c r="L82" s="3" t="s">
        <v>157</v>
      </c>
      <c r="AB82" s="40"/>
      <c r="AC82" s="37"/>
      <c r="AD82" s="39"/>
      <c r="AE82" s="36"/>
      <c r="AF82" s="36"/>
      <c r="AG82" s="36"/>
    </row>
    <row r="83" spans="5:33" x14ac:dyDescent="0.25">
      <c r="E83" s="65" t="s">
        <v>865</v>
      </c>
      <c r="F83" s="70" t="s">
        <v>561</v>
      </c>
      <c r="G83" s="60" t="s">
        <v>874</v>
      </c>
      <c r="H83" s="60" t="s">
        <v>488</v>
      </c>
      <c r="J83" s="4" t="s">
        <v>270</v>
      </c>
      <c r="K83" s="3" t="s">
        <v>444</v>
      </c>
      <c r="L83" s="3" t="s">
        <v>271</v>
      </c>
      <c r="AB83" s="40"/>
      <c r="AC83" s="37"/>
      <c r="AD83" s="39"/>
      <c r="AE83" s="36"/>
      <c r="AF83" s="36"/>
      <c r="AG83" s="36"/>
    </row>
    <row r="84" spans="5:33" x14ac:dyDescent="0.25">
      <c r="E84" s="65" t="s">
        <v>520</v>
      </c>
      <c r="F84" s="70" t="s">
        <v>561</v>
      </c>
      <c r="G84" s="60" t="s">
        <v>674</v>
      </c>
      <c r="H84" s="60" t="s">
        <v>488</v>
      </c>
      <c r="J84" s="4" t="s">
        <v>272</v>
      </c>
      <c r="K84" s="3" t="s">
        <v>445</v>
      </c>
      <c r="L84" s="3" t="s">
        <v>203</v>
      </c>
      <c r="AB84" s="40"/>
      <c r="AC84" s="37"/>
      <c r="AD84" s="39"/>
      <c r="AE84" s="36"/>
      <c r="AF84" s="36"/>
      <c r="AG84" s="36"/>
    </row>
    <row r="85" spans="5:33" x14ac:dyDescent="0.25">
      <c r="E85" s="65" t="s">
        <v>526</v>
      </c>
      <c r="F85" s="70" t="s">
        <v>561</v>
      </c>
      <c r="G85" s="60" t="s">
        <v>657</v>
      </c>
      <c r="H85" s="60" t="s">
        <v>488</v>
      </c>
      <c r="J85" s="4" t="s">
        <v>273</v>
      </c>
      <c r="K85" s="3" t="s">
        <v>448</v>
      </c>
      <c r="L85" s="3" t="s">
        <v>185</v>
      </c>
      <c r="AB85" s="40"/>
      <c r="AC85" s="37"/>
      <c r="AD85" s="39"/>
      <c r="AE85" s="36"/>
      <c r="AF85" s="36"/>
      <c r="AG85" s="36"/>
    </row>
    <row r="86" spans="5:33" x14ac:dyDescent="0.25">
      <c r="E86" s="65" t="s">
        <v>578</v>
      </c>
      <c r="F86" s="70" t="s">
        <v>561</v>
      </c>
      <c r="G86" s="60" t="s">
        <v>675</v>
      </c>
      <c r="H86" s="60" t="s">
        <v>488</v>
      </c>
      <c r="J86" s="4" t="s">
        <v>274</v>
      </c>
      <c r="K86" s="3" t="s">
        <v>427</v>
      </c>
      <c r="L86" s="3" t="s">
        <v>249</v>
      </c>
      <c r="AB86" s="38"/>
      <c r="AC86" s="37"/>
      <c r="AD86" s="39"/>
      <c r="AE86" s="36"/>
      <c r="AF86" s="36"/>
      <c r="AG86" s="36"/>
    </row>
    <row r="87" spans="5:33" x14ac:dyDescent="0.25">
      <c r="E87" s="65" t="s">
        <v>522</v>
      </c>
      <c r="F87" s="70" t="s">
        <v>561</v>
      </c>
      <c r="G87" s="60" t="s">
        <v>658</v>
      </c>
      <c r="H87" s="60" t="s">
        <v>488</v>
      </c>
      <c r="J87" s="4" t="s">
        <v>275</v>
      </c>
      <c r="K87" s="3" t="s">
        <v>427</v>
      </c>
      <c r="L87" s="3" t="s">
        <v>251</v>
      </c>
      <c r="AB87" s="38"/>
      <c r="AC87" s="37"/>
      <c r="AD87" s="39"/>
      <c r="AE87" s="36"/>
      <c r="AF87" s="36"/>
      <c r="AG87" s="36"/>
    </row>
    <row r="88" spans="5:33" x14ac:dyDescent="0.25">
      <c r="E88" s="65" t="s">
        <v>519</v>
      </c>
      <c r="F88" s="70" t="s">
        <v>561</v>
      </c>
      <c r="G88" s="60" t="s">
        <v>659</v>
      </c>
      <c r="H88" s="60" t="s">
        <v>488</v>
      </c>
      <c r="J88" s="4" t="s">
        <v>276</v>
      </c>
      <c r="K88" s="3" t="s">
        <v>728</v>
      </c>
      <c r="L88" s="3" t="s">
        <v>221</v>
      </c>
      <c r="AB88" s="38"/>
      <c r="AC88" s="37"/>
      <c r="AD88" s="39"/>
      <c r="AE88" s="36"/>
      <c r="AF88" s="36"/>
      <c r="AG88" s="36"/>
    </row>
    <row r="89" spans="5:33" x14ac:dyDescent="0.25">
      <c r="E89" s="65" t="s">
        <v>521</v>
      </c>
      <c r="F89" s="70" t="s">
        <v>561</v>
      </c>
      <c r="G89" s="60" t="s">
        <v>660</v>
      </c>
      <c r="H89" s="60" t="s">
        <v>488</v>
      </c>
      <c r="J89" s="4" t="s">
        <v>277</v>
      </c>
      <c r="K89" s="3" t="s">
        <v>451</v>
      </c>
      <c r="L89" s="3" t="s">
        <v>231</v>
      </c>
      <c r="AB89" s="38"/>
      <c r="AC89" s="37"/>
      <c r="AD89" s="39"/>
      <c r="AE89" s="36"/>
      <c r="AF89" s="36"/>
      <c r="AG89" s="36"/>
    </row>
    <row r="90" spans="5:33" x14ac:dyDescent="0.25">
      <c r="E90" s="65" t="s">
        <v>515</v>
      </c>
      <c r="F90" s="70" t="s">
        <v>561</v>
      </c>
      <c r="G90" s="60" t="s">
        <v>661</v>
      </c>
      <c r="H90" s="60" t="s">
        <v>488</v>
      </c>
      <c r="J90" s="4" t="s">
        <v>278</v>
      </c>
      <c r="K90" s="3" t="s">
        <v>454</v>
      </c>
      <c r="L90" s="3" t="s">
        <v>159</v>
      </c>
      <c r="AB90" s="38"/>
      <c r="AC90" s="37"/>
      <c r="AD90" s="39"/>
      <c r="AE90" s="36"/>
      <c r="AF90" s="36"/>
      <c r="AG90" s="36"/>
    </row>
    <row r="91" spans="5:33" x14ac:dyDescent="0.25">
      <c r="E91" s="65" t="s">
        <v>518</v>
      </c>
      <c r="F91" s="70" t="s">
        <v>561</v>
      </c>
      <c r="G91" s="60" t="s">
        <v>676</v>
      </c>
      <c r="H91" s="60" t="s">
        <v>488</v>
      </c>
      <c r="J91" s="4" t="s">
        <v>279</v>
      </c>
      <c r="K91" s="3" t="s">
        <v>452</v>
      </c>
      <c r="L91" s="3" t="s">
        <v>246</v>
      </c>
      <c r="AB91" s="38"/>
      <c r="AC91" s="37"/>
      <c r="AD91" s="39"/>
      <c r="AE91" s="36"/>
      <c r="AF91" s="36"/>
      <c r="AG91" s="36"/>
    </row>
    <row r="92" spans="5:33" x14ac:dyDescent="0.25">
      <c r="E92" s="65" t="s">
        <v>869</v>
      </c>
      <c r="F92" s="70" t="s">
        <v>561</v>
      </c>
      <c r="G92" s="60" t="s">
        <v>875</v>
      </c>
      <c r="H92" s="60" t="s">
        <v>488</v>
      </c>
      <c r="J92" s="4" t="s">
        <v>280</v>
      </c>
      <c r="K92" s="3" t="s">
        <v>453</v>
      </c>
      <c r="L92" s="3" t="s">
        <v>246</v>
      </c>
      <c r="AB92" s="38"/>
      <c r="AC92" s="37"/>
      <c r="AD92" s="39"/>
      <c r="AE92" s="36"/>
      <c r="AF92" s="36"/>
      <c r="AG92" s="36"/>
    </row>
    <row r="93" spans="5:33" x14ac:dyDescent="0.25">
      <c r="E93" s="65" t="s">
        <v>516</v>
      </c>
      <c r="F93" s="70" t="s">
        <v>561</v>
      </c>
      <c r="G93" s="60" t="s">
        <v>662</v>
      </c>
      <c r="H93" s="60" t="s">
        <v>488</v>
      </c>
      <c r="J93" s="4" t="s">
        <v>281</v>
      </c>
      <c r="K93" s="3" t="s">
        <v>455</v>
      </c>
      <c r="L93" s="3" t="s">
        <v>203</v>
      </c>
      <c r="AB93" s="38"/>
      <c r="AC93" s="37"/>
      <c r="AD93" s="39"/>
      <c r="AE93" s="36"/>
      <c r="AF93" s="36"/>
      <c r="AG93" s="36"/>
    </row>
    <row r="94" spans="5:33" x14ac:dyDescent="0.25">
      <c r="E94" s="65" t="s">
        <v>517</v>
      </c>
      <c r="F94" s="70" t="s">
        <v>561</v>
      </c>
      <c r="G94" s="60" t="s">
        <v>663</v>
      </c>
      <c r="H94" s="60" t="s">
        <v>488</v>
      </c>
      <c r="J94" s="4" t="s">
        <v>282</v>
      </c>
      <c r="K94" s="3" t="s">
        <v>729</v>
      </c>
      <c r="L94" s="3" t="s">
        <v>157</v>
      </c>
      <c r="AB94" s="38"/>
      <c r="AC94" s="37"/>
      <c r="AD94" s="39"/>
      <c r="AE94" s="36"/>
      <c r="AF94" s="36"/>
      <c r="AG94" s="36"/>
    </row>
    <row r="95" spans="5:33" x14ac:dyDescent="0.25">
      <c r="E95" s="65" t="s">
        <v>870</v>
      </c>
      <c r="F95" s="70" t="s">
        <v>561</v>
      </c>
      <c r="G95" s="60" t="s">
        <v>876</v>
      </c>
      <c r="H95" s="60" t="s">
        <v>488</v>
      </c>
      <c r="J95" s="4" t="s">
        <v>283</v>
      </c>
      <c r="K95" s="3" t="s">
        <v>456</v>
      </c>
      <c r="L95" s="3" t="s">
        <v>158</v>
      </c>
      <c r="AB95" s="38"/>
      <c r="AC95" s="37"/>
      <c r="AD95" s="39"/>
      <c r="AE95" s="36"/>
      <c r="AF95" s="36"/>
      <c r="AG95" s="36"/>
    </row>
    <row r="96" spans="5:33" x14ac:dyDescent="0.25">
      <c r="E96" s="65" t="s">
        <v>511</v>
      </c>
      <c r="F96" s="70" t="s">
        <v>561</v>
      </c>
      <c r="G96" s="60" t="s">
        <v>664</v>
      </c>
      <c r="H96" s="60" t="s">
        <v>488</v>
      </c>
      <c r="J96" s="4" t="s">
        <v>284</v>
      </c>
      <c r="K96" s="3" t="s">
        <v>457</v>
      </c>
      <c r="L96" s="3" t="s">
        <v>203</v>
      </c>
      <c r="AB96" s="38"/>
      <c r="AC96" s="37"/>
      <c r="AD96" s="39"/>
      <c r="AE96" s="36"/>
      <c r="AF96" s="36"/>
      <c r="AG96" s="36"/>
    </row>
    <row r="97" spans="5:33" x14ac:dyDescent="0.25">
      <c r="E97" s="65" t="s">
        <v>514</v>
      </c>
      <c r="F97" s="70" t="s">
        <v>561</v>
      </c>
      <c r="G97" s="60" t="s">
        <v>677</v>
      </c>
      <c r="H97" s="60" t="s">
        <v>488</v>
      </c>
      <c r="J97" s="4" t="s">
        <v>285</v>
      </c>
      <c r="K97" s="3" t="s">
        <v>458</v>
      </c>
      <c r="L97" s="3" t="s">
        <v>185</v>
      </c>
      <c r="AB97" s="38"/>
      <c r="AC97" s="37"/>
      <c r="AD97" s="39"/>
      <c r="AE97" s="36"/>
      <c r="AF97" s="36"/>
      <c r="AG97" s="36"/>
    </row>
    <row r="98" spans="5:33" x14ac:dyDescent="0.25">
      <c r="E98" s="65" t="s">
        <v>877</v>
      </c>
      <c r="F98" s="70" t="s">
        <v>561</v>
      </c>
      <c r="G98" s="60" t="s">
        <v>878</v>
      </c>
      <c r="H98" s="60" t="s">
        <v>488</v>
      </c>
      <c r="J98" s="4" t="s">
        <v>286</v>
      </c>
      <c r="K98" s="3" t="s">
        <v>459</v>
      </c>
      <c r="L98" s="3" t="s">
        <v>185</v>
      </c>
      <c r="AB98" s="38"/>
      <c r="AC98" s="37"/>
      <c r="AD98" s="39"/>
      <c r="AE98" s="36"/>
      <c r="AF98" s="36"/>
      <c r="AG98" s="36"/>
    </row>
    <row r="99" spans="5:33" x14ac:dyDescent="0.25">
      <c r="E99" s="65" t="s">
        <v>512</v>
      </c>
      <c r="F99" s="70" t="s">
        <v>561</v>
      </c>
      <c r="G99" s="60" t="s">
        <v>665</v>
      </c>
      <c r="H99" s="60" t="s">
        <v>488</v>
      </c>
      <c r="J99" s="4" t="s">
        <v>287</v>
      </c>
      <c r="K99" s="3" t="s">
        <v>735</v>
      </c>
      <c r="L99" s="3" t="s">
        <v>221</v>
      </c>
      <c r="AB99" s="38"/>
      <c r="AC99" s="37"/>
      <c r="AD99" s="39"/>
      <c r="AE99" s="36"/>
      <c r="AF99" s="36"/>
      <c r="AG99" s="36"/>
    </row>
    <row r="100" spans="5:33" x14ac:dyDescent="0.25">
      <c r="E100" s="65" t="s">
        <v>513</v>
      </c>
      <c r="F100" s="70" t="s">
        <v>561</v>
      </c>
      <c r="G100" s="60" t="s">
        <v>666</v>
      </c>
      <c r="H100" s="60" t="s">
        <v>488</v>
      </c>
      <c r="J100" s="4" t="s">
        <v>288</v>
      </c>
      <c r="K100" s="3" t="s">
        <v>736</v>
      </c>
      <c r="L100" s="3" t="s">
        <v>231</v>
      </c>
      <c r="AB100" s="38"/>
      <c r="AC100" s="37"/>
      <c r="AD100" s="39"/>
      <c r="AE100" s="36"/>
      <c r="AF100" s="36"/>
      <c r="AG100" s="36"/>
    </row>
    <row r="101" spans="5:33" x14ac:dyDescent="0.25">
      <c r="E101" s="65" t="s">
        <v>503</v>
      </c>
      <c r="F101" s="70" t="s">
        <v>561</v>
      </c>
      <c r="G101" s="60" t="s">
        <v>678</v>
      </c>
      <c r="H101" s="60" t="s">
        <v>488</v>
      </c>
      <c r="J101" s="4" t="s">
        <v>289</v>
      </c>
      <c r="K101" s="3" t="s">
        <v>737</v>
      </c>
      <c r="L101" s="3" t="s">
        <v>159</v>
      </c>
      <c r="AB101" s="38"/>
      <c r="AC101" s="37"/>
      <c r="AD101" s="39"/>
      <c r="AE101" s="36"/>
      <c r="AF101" s="36"/>
      <c r="AG101" s="36"/>
    </row>
    <row r="102" spans="5:33" x14ac:dyDescent="0.25">
      <c r="E102" s="65" t="s">
        <v>504</v>
      </c>
      <c r="F102" s="70" t="s">
        <v>561</v>
      </c>
      <c r="G102" s="60" t="s">
        <v>680</v>
      </c>
      <c r="H102" s="60" t="s">
        <v>488</v>
      </c>
      <c r="J102" s="4" t="s">
        <v>290</v>
      </c>
      <c r="K102" s="3" t="s">
        <v>738</v>
      </c>
      <c r="L102" s="3" t="s">
        <v>246</v>
      </c>
      <c r="AB102" s="38"/>
      <c r="AC102" s="37"/>
      <c r="AD102" s="39"/>
      <c r="AE102" s="36"/>
      <c r="AF102" s="36"/>
      <c r="AG102" s="36"/>
    </row>
    <row r="103" spans="5:33" x14ac:dyDescent="0.25">
      <c r="E103" s="65" t="s">
        <v>502</v>
      </c>
      <c r="F103" s="70" t="s">
        <v>561</v>
      </c>
      <c r="G103" s="60" t="s">
        <v>681</v>
      </c>
      <c r="H103" s="60" t="s">
        <v>488</v>
      </c>
      <c r="J103" s="4" t="s">
        <v>291</v>
      </c>
      <c r="K103" s="3" t="s">
        <v>739</v>
      </c>
      <c r="L103" s="3" t="s">
        <v>246</v>
      </c>
      <c r="AB103" s="38"/>
      <c r="AC103" s="37"/>
      <c r="AD103" s="39"/>
      <c r="AE103" s="36"/>
      <c r="AF103" s="36"/>
      <c r="AG103" s="36"/>
    </row>
    <row r="104" spans="5:33" x14ac:dyDescent="0.25">
      <c r="E104" s="65" t="s">
        <v>499</v>
      </c>
      <c r="F104" s="70" t="s">
        <v>561</v>
      </c>
      <c r="G104" s="60" t="s">
        <v>667</v>
      </c>
      <c r="H104" s="60" t="s">
        <v>488</v>
      </c>
      <c r="J104" s="4" t="s">
        <v>292</v>
      </c>
      <c r="K104" s="3" t="s">
        <v>740</v>
      </c>
      <c r="L104" s="3" t="s">
        <v>185</v>
      </c>
      <c r="AB104" s="38"/>
      <c r="AC104" s="37"/>
      <c r="AD104" s="39"/>
      <c r="AE104" s="36"/>
      <c r="AF104" s="36"/>
      <c r="AG104" s="36"/>
    </row>
    <row r="105" spans="5:33" x14ac:dyDescent="0.25">
      <c r="E105" s="65" t="s">
        <v>498</v>
      </c>
      <c r="F105" s="70" t="s">
        <v>561</v>
      </c>
      <c r="G105" s="60" t="s">
        <v>668</v>
      </c>
      <c r="H105" s="60" t="s">
        <v>488</v>
      </c>
      <c r="J105" s="4" t="s">
        <v>293</v>
      </c>
      <c r="K105" s="3" t="s">
        <v>427</v>
      </c>
      <c r="L105" s="3" t="s">
        <v>249</v>
      </c>
      <c r="AB105" s="38"/>
      <c r="AC105" s="37"/>
      <c r="AD105" s="39"/>
      <c r="AE105" s="36"/>
      <c r="AF105" s="36"/>
      <c r="AG105" s="36"/>
    </row>
    <row r="106" spans="5:33" x14ac:dyDescent="0.25">
      <c r="E106" s="65" t="s">
        <v>497</v>
      </c>
      <c r="F106" s="70" t="s">
        <v>561</v>
      </c>
      <c r="G106" s="60" t="s">
        <v>669</v>
      </c>
      <c r="H106" s="60" t="s">
        <v>488</v>
      </c>
      <c r="J106" s="4" t="s">
        <v>294</v>
      </c>
      <c r="K106" s="3" t="s">
        <v>427</v>
      </c>
      <c r="L106" s="3" t="s">
        <v>251</v>
      </c>
      <c r="AB106" s="38"/>
      <c r="AC106" s="37"/>
      <c r="AD106" s="39"/>
      <c r="AE106" s="36"/>
      <c r="AF106" s="36"/>
      <c r="AG106" s="36"/>
    </row>
    <row r="107" spans="5:33" x14ac:dyDescent="0.25">
      <c r="E107" s="65" t="s">
        <v>500</v>
      </c>
      <c r="F107" s="70" t="s">
        <v>561</v>
      </c>
      <c r="G107" s="60" t="s">
        <v>670</v>
      </c>
      <c r="H107" s="60" t="s">
        <v>488</v>
      </c>
      <c r="J107" s="4" t="s">
        <v>295</v>
      </c>
      <c r="K107" s="3" t="s">
        <v>461</v>
      </c>
      <c r="L107" s="3" t="s">
        <v>221</v>
      </c>
      <c r="AB107" s="38"/>
      <c r="AC107" s="37"/>
      <c r="AD107" s="39"/>
      <c r="AE107" s="36"/>
      <c r="AF107" s="36"/>
      <c r="AG107" s="36"/>
    </row>
    <row r="108" spans="5:33" x14ac:dyDescent="0.25">
      <c r="E108" s="65" t="s">
        <v>501</v>
      </c>
      <c r="F108" s="70" t="s">
        <v>561</v>
      </c>
      <c r="G108" s="60" t="s">
        <v>682</v>
      </c>
      <c r="H108" s="60" t="s">
        <v>488</v>
      </c>
      <c r="J108" s="4" t="s">
        <v>296</v>
      </c>
      <c r="K108" s="3" t="s">
        <v>462</v>
      </c>
      <c r="L108" s="3" t="s">
        <v>231</v>
      </c>
      <c r="AB108" s="38"/>
      <c r="AC108" s="37"/>
      <c r="AD108" s="39"/>
      <c r="AE108" s="36"/>
      <c r="AF108" s="36"/>
      <c r="AG108" s="36"/>
    </row>
    <row r="109" spans="5:33" x14ac:dyDescent="0.25">
      <c r="E109" s="65" t="s">
        <v>491</v>
      </c>
      <c r="F109" s="60" t="s">
        <v>562</v>
      </c>
      <c r="G109" s="60" t="s">
        <v>683</v>
      </c>
      <c r="H109" s="60" t="s">
        <v>488</v>
      </c>
      <c r="J109" s="4" t="s">
        <v>297</v>
      </c>
      <c r="K109" s="3" t="s">
        <v>465</v>
      </c>
      <c r="L109" s="3" t="s">
        <v>159</v>
      </c>
      <c r="AB109" s="38"/>
      <c r="AC109" s="37"/>
      <c r="AD109" s="39"/>
      <c r="AE109" s="36"/>
      <c r="AF109" s="36"/>
      <c r="AG109" s="36"/>
    </row>
    <row r="110" spans="5:33" x14ac:dyDescent="0.25">
      <c r="E110" s="65" t="s">
        <v>496</v>
      </c>
      <c r="F110" s="60" t="s">
        <v>562</v>
      </c>
      <c r="G110" s="60" t="s">
        <v>684</v>
      </c>
      <c r="H110" s="60" t="s">
        <v>488</v>
      </c>
      <c r="J110" s="4" t="s">
        <v>298</v>
      </c>
      <c r="K110" s="3" t="s">
        <v>464</v>
      </c>
      <c r="L110" s="3" t="s">
        <v>246</v>
      </c>
      <c r="AB110" s="38"/>
      <c r="AC110" s="37"/>
      <c r="AD110" s="39"/>
      <c r="AE110" s="36"/>
      <c r="AF110" s="36"/>
      <c r="AG110" s="36"/>
    </row>
    <row r="111" spans="5:33" x14ac:dyDescent="0.25">
      <c r="E111" s="65" t="s">
        <v>494</v>
      </c>
      <c r="F111" s="60" t="s">
        <v>562</v>
      </c>
      <c r="G111" s="60" t="s">
        <v>685</v>
      </c>
      <c r="H111" s="60" t="s">
        <v>488</v>
      </c>
      <c r="J111" s="4" t="s">
        <v>299</v>
      </c>
      <c r="K111" s="3" t="s">
        <v>463</v>
      </c>
      <c r="L111" s="3" t="s">
        <v>246</v>
      </c>
      <c r="AB111" s="38"/>
      <c r="AC111" s="37"/>
      <c r="AD111" s="39"/>
      <c r="AE111" s="36"/>
      <c r="AF111" s="36"/>
      <c r="AG111" s="36"/>
    </row>
    <row r="112" spans="5:33" x14ac:dyDescent="0.25">
      <c r="E112" s="65" t="s">
        <v>493</v>
      </c>
      <c r="F112" s="60" t="s">
        <v>562</v>
      </c>
      <c r="G112" s="60" t="s">
        <v>671</v>
      </c>
      <c r="H112" s="60" t="s">
        <v>488</v>
      </c>
      <c r="J112" s="4" t="s">
        <v>300</v>
      </c>
      <c r="K112" s="3" t="s">
        <v>466</v>
      </c>
      <c r="L112" s="3" t="s">
        <v>185</v>
      </c>
      <c r="AB112" s="38"/>
      <c r="AC112" s="37"/>
      <c r="AD112" s="39"/>
      <c r="AE112" s="36"/>
      <c r="AF112" s="36"/>
      <c r="AG112" s="36"/>
    </row>
    <row r="113" spans="5:33" x14ac:dyDescent="0.25">
      <c r="E113" s="65" t="s">
        <v>492</v>
      </c>
      <c r="F113" s="60" t="s">
        <v>562</v>
      </c>
      <c r="G113" s="60" t="s">
        <v>672</v>
      </c>
      <c r="H113" s="60" t="s">
        <v>488</v>
      </c>
      <c r="J113" s="4" t="s">
        <v>301</v>
      </c>
      <c r="K113" s="3" t="s">
        <v>741</v>
      </c>
      <c r="L113" s="3" t="s">
        <v>221</v>
      </c>
      <c r="AB113" s="38"/>
      <c r="AC113" s="37"/>
      <c r="AD113" s="39"/>
      <c r="AE113" s="36"/>
      <c r="AF113" s="36"/>
      <c r="AG113" s="36"/>
    </row>
    <row r="114" spans="5:33" x14ac:dyDescent="0.25">
      <c r="E114" s="65" t="s">
        <v>579</v>
      </c>
      <c r="F114" s="70" t="s">
        <v>561</v>
      </c>
      <c r="G114" s="60" t="s">
        <v>686</v>
      </c>
      <c r="H114" s="60" t="s">
        <v>488</v>
      </c>
      <c r="J114" s="4" t="s">
        <v>302</v>
      </c>
      <c r="K114" s="3" t="s">
        <v>467</v>
      </c>
      <c r="L114" s="3" t="s">
        <v>231</v>
      </c>
      <c r="AB114" s="38"/>
      <c r="AC114" s="37"/>
      <c r="AD114" s="39"/>
      <c r="AE114" s="36"/>
      <c r="AF114" s="36"/>
      <c r="AG114" s="36"/>
    </row>
    <row r="115" spans="5:33" x14ac:dyDescent="0.25">
      <c r="E115" s="65" t="s">
        <v>580</v>
      </c>
      <c r="F115" s="70" t="s">
        <v>561</v>
      </c>
      <c r="G115" s="60" t="s">
        <v>687</v>
      </c>
      <c r="H115" s="60" t="s">
        <v>488</v>
      </c>
      <c r="J115" s="4" t="s">
        <v>303</v>
      </c>
      <c r="K115" s="3" t="s">
        <v>470</v>
      </c>
      <c r="L115" s="3" t="s">
        <v>159</v>
      </c>
      <c r="AB115" s="38"/>
      <c r="AC115" s="37"/>
      <c r="AD115" s="39"/>
      <c r="AE115" s="36"/>
      <c r="AF115" s="36"/>
      <c r="AG115" s="36"/>
    </row>
    <row r="116" spans="5:33" x14ac:dyDescent="0.25">
      <c r="E116" s="65" t="s">
        <v>581</v>
      </c>
      <c r="F116" s="70" t="s">
        <v>561</v>
      </c>
      <c r="G116" s="60" t="s">
        <v>688</v>
      </c>
      <c r="H116" s="60" t="s">
        <v>488</v>
      </c>
      <c r="J116" s="4" t="s">
        <v>304</v>
      </c>
      <c r="K116" s="3" t="s">
        <v>468</v>
      </c>
      <c r="L116" s="3" t="s">
        <v>246</v>
      </c>
      <c r="AB116" s="38"/>
      <c r="AC116" s="37"/>
      <c r="AD116" s="39"/>
      <c r="AE116" s="36"/>
      <c r="AF116" s="36"/>
      <c r="AG116" s="36"/>
    </row>
    <row r="117" spans="5:33" x14ac:dyDescent="0.25">
      <c r="E117" s="65" t="s">
        <v>582</v>
      </c>
      <c r="F117" s="70" t="s">
        <v>561</v>
      </c>
      <c r="G117" s="60" t="s">
        <v>689</v>
      </c>
      <c r="H117" s="60" t="s">
        <v>488</v>
      </c>
      <c r="J117" s="4" t="s">
        <v>305</v>
      </c>
      <c r="K117" s="3" t="s">
        <v>469</v>
      </c>
      <c r="L117" s="3" t="s">
        <v>246</v>
      </c>
      <c r="AB117" s="38"/>
      <c r="AC117" s="37"/>
      <c r="AD117" s="39"/>
      <c r="AE117" s="36"/>
      <c r="AF117" s="36"/>
      <c r="AG117" s="36"/>
    </row>
    <row r="118" spans="5:33" x14ac:dyDescent="0.25">
      <c r="E118" s="65" t="s">
        <v>583</v>
      </c>
      <c r="F118" s="70" t="s">
        <v>561</v>
      </c>
      <c r="G118" s="60" t="s">
        <v>690</v>
      </c>
      <c r="H118" s="60" t="s">
        <v>488</v>
      </c>
      <c r="J118" s="4" t="s">
        <v>306</v>
      </c>
      <c r="K118" s="3" t="s">
        <v>471</v>
      </c>
      <c r="L118" s="3" t="s">
        <v>185</v>
      </c>
      <c r="AB118" s="38"/>
      <c r="AC118" s="37"/>
      <c r="AD118" s="39"/>
      <c r="AE118" s="36"/>
      <c r="AF118" s="36"/>
      <c r="AG118" s="36"/>
    </row>
    <row r="119" spans="5:33" x14ac:dyDescent="0.25">
      <c r="E119" s="65" t="s">
        <v>584</v>
      </c>
      <c r="F119" s="70" t="s">
        <v>561</v>
      </c>
      <c r="G119" s="60" t="s">
        <v>691</v>
      </c>
      <c r="H119" s="60" t="s">
        <v>488</v>
      </c>
      <c r="J119" s="4" t="s">
        <v>307</v>
      </c>
      <c r="K119" s="3" t="s">
        <v>409</v>
      </c>
      <c r="L119" s="3" t="s">
        <v>203</v>
      </c>
      <c r="AB119" s="38"/>
      <c r="AC119" s="37"/>
      <c r="AD119" s="39"/>
      <c r="AE119" s="36"/>
      <c r="AF119" s="36"/>
      <c r="AG119" s="36"/>
    </row>
    <row r="120" spans="5:33" x14ac:dyDescent="0.25">
      <c r="E120" s="65" t="s">
        <v>585</v>
      </c>
      <c r="F120" s="70" t="s">
        <v>561</v>
      </c>
      <c r="G120" s="60" t="s">
        <v>692</v>
      </c>
      <c r="H120" s="60" t="s">
        <v>488</v>
      </c>
      <c r="J120" s="4" t="s">
        <v>308</v>
      </c>
      <c r="K120" s="3" t="s">
        <v>410</v>
      </c>
      <c r="L120" s="3" t="s">
        <v>203</v>
      </c>
      <c r="AB120" s="38"/>
      <c r="AC120" s="37"/>
      <c r="AD120" s="39"/>
      <c r="AE120" s="36"/>
      <c r="AF120" s="36"/>
      <c r="AG120" s="36"/>
    </row>
    <row r="121" spans="5:33" x14ac:dyDescent="0.25">
      <c r="E121" s="65" t="s">
        <v>586</v>
      </c>
      <c r="F121" s="70" t="s">
        <v>561</v>
      </c>
      <c r="G121" s="60" t="s">
        <v>693</v>
      </c>
      <c r="H121" s="60" t="s">
        <v>488</v>
      </c>
      <c r="J121" s="4" t="s">
        <v>309</v>
      </c>
      <c r="K121" s="3" t="s">
        <v>411</v>
      </c>
      <c r="L121" s="3" t="s">
        <v>231</v>
      </c>
      <c r="AB121" s="38"/>
      <c r="AC121" s="37"/>
      <c r="AD121" s="39"/>
      <c r="AE121" s="36"/>
      <c r="AF121" s="36"/>
      <c r="AG121" s="36"/>
    </row>
    <row r="122" spans="5:33" x14ac:dyDescent="0.25">
      <c r="E122" s="65" t="s">
        <v>587</v>
      </c>
      <c r="F122" s="70" t="s">
        <v>561</v>
      </c>
      <c r="G122" s="60" t="s">
        <v>694</v>
      </c>
      <c r="H122" s="60" t="s">
        <v>488</v>
      </c>
      <c r="J122" s="4" t="s">
        <v>310</v>
      </c>
      <c r="K122" s="3" t="s">
        <v>412</v>
      </c>
      <c r="L122" s="3" t="s">
        <v>231</v>
      </c>
      <c r="AB122" s="38"/>
      <c r="AC122" s="37"/>
      <c r="AD122" s="39"/>
      <c r="AE122" s="36"/>
      <c r="AF122" s="36"/>
      <c r="AG122" s="36"/>
    </row>
    <row r="123" spans="5:33" x14ac:dyDescent="0.25">
      <c r="E123" s="65" t="s">
        <v>588</v>
      </c>
      <c r="F123" s="70" t="s">
        <v>561</v>
      </c>
      <c r="G123" s="60" t="s">
        <v>695</v>
      </c>
      <c r="H123" s="60" t="s">
        <v>488</v>
      </c>
      <c r="J123" s="4" t="s">
        <v>311</v>
      </c>
      <c r="K123" s="3" t="s">
        <v>413</v>
      </c>
      <c r="L123" s="3" t="s">
        <v>221</v>
      </c>
      <c r="AB123" s="38"/>
      <c r="AC123" s="37"/>
      <c r="AD123" s="39"/>
      <c r="AE123" s="36"/>
      <c r="AF123" s="36"/>
      <c r="AG123" s="36"/>
    </row>
    <row r="124" spans="5:33" x14ac:dyDescent="0.25">
      <c r="E124" s="65" t="s">
        <v>589</v>
      </c>
      <c r="F124" s="70" t="s">
        <v>561</v>
      </c>
      <c r="G124" s="60" t="s">
        <v>696</v>
      </c>
      <c r="H124" s="60" t="s">
        <v>488</v>
      </c>
      <c r="J124" s="4" t="s">
        <v>312</v>
      </c>
      <c r="K124" s="3" t="s">
        <v>414</v>
      </c>
      <c r="L124" s="3" t="s">
        <v>221</v>
      </c>
      <c r="AB124" s="38"/>
      <c r="AC124" s="37"/>
      <c r="AD124" s="39"/>
      <c r="AE124" s="36"/>
      <c r="AF124" s="36"/>
      <c r="AG124" s="36"/>
    </row>
    <row r="125" spans="5:33" x14ac:dyDescent="0.25">
      <c r="E125" s="65" t="s">
        <v>590</v>
      </c>
      <c r="F125" s="70" t="s">
        <v>561</v>
      </c>
      <c r="G125" s="60" t="s">
        <v>697</v>
      </c>
      <c r="H125" s="60" t="s">
        <v>488</v>
      </c>
      <c r="J125" s="4" t="s">
        <v>313</v>
      </c>
      <c r="K125" s="3" t="s">
        <v>417</v>
      </c>
      <c r="L125" s="3" t="s">
        <v>159</v>
      </c>
      <c r="AB125" s="38"/>
      <c r="AC125" s="37"/>
      <c r="AD125" s="39"/>
      <c r="AE125" s="36"/>
      <c r="AF125" s="36"/>
      <c r="AG125" s="36"/>
    </row>
    <row r="126" spans="5:33" x14ac:dyDescent="0.25">
      <c r="E126" s="71" t="s">
        <v>591</v>
      </c>
      <c r="F126" s="70" t="s">
        <v>561</v>
      </c>
      <c r="G126" s="60" t="s">
        <v>698</v>
      </c>
      <c r="H126" s="60" t="s">
        <v>488</v>
      </c>
      <c r="J126" s="4" t="s">
        <v>314</v>
      </c>
      <c r="K126" s="3" t="s">
        <v>418</v>
      </c>
      <c r="L126" s="3" t="s">
        <v>315</v>
      </c>
      <c r="AB126" s="38"/>
      <c r="AC126" s="37"/>
      <c r="AD126" s="39"/>
      <c r="AE126" s="36"/>
      <c r="AF126" s="36"/>
      <c r="AG126" s="36"/>
    </row>
    <row r="127" spans="5:33" x14ac:dyDescent="0.25">
      <c r="E127" s="65" t="s">
        <v>895</v>
      </c>
      <c r="F127" s="70" t="s">
        <v>561</v>
      </c>
      <c r="G127" s="60" t="s">
        <v>896</v>
      </c>
      <c r="H127" s="60" t="s">
        <v>488</v>
      </c>
      <c r="J127" s="4" t="s">
        <v>316</v>
      </c>
      <c r="K127" s="3" t="s">
        <v>417</v>
      </c>
      <c r="L127" s="3" t="s">
        <v>159</v>
      </c>
      <c r="AB127" s="38"/>
      <c r="AC127" s="37"/>
      <c r="AD127" s="39"/>
      <c r="AE127" s="36"/>
      <c r="AF127" s="36"/>
      <c r="AG127" s="36"/>
    </row>
    <row r="128" spans="5:33" x14ac:dyDescent="0.25">
      <c r="E128" s="65" t="s">
        <v>897</v>
      </c>
      <c r="F128" s="70" t="s">
        <v>561</v>
      </c>
      <c r="G128" s="60" t="s">
        <v>898</v>
      </c>
      <c r="H128" s="60" t="s">
        <v>488</v>
      </c>
      <c r="J128" s="4" t="s">
        <v>317</v>
      </c>
      <c r="K128" s="3" t="s">
        <v>418</v>
      </c>
      <c r="L128" s="3" t="s">
        <v>315</v>
      </c>
      <c r="AB128" s="38"/>
      <c r="AC128" s="37"/>
      <c r="AD128" s="39"/>
      <c r="AE128" s="36"/>
      <c r="AF128" s="36"/>
      <c r="AG128" s="36"/>
    </row>
    <row r="129" spans="5:33" x14ac:dyDescent="0.25">
      <c r="E129" s="65" t="s">
        <v>899</v>
      </c>
      <c r="F129" s="70" t="s">
        <v>561</v>
      </c>
      <c r="G129" s="60" t="s">
        <v>900</v>
      </c>
      <c r="H129" s="60" t="s">
        <v>488</v>
      </c>
      <c r="J129" s="4" t="s">
        <v>318</v>
      </c>
      <c r="K129" s="3" t="s">
        <v>419</v>
      </c>
      <c r="L129" s="3" t="s">
        <v>159</v>
      </c>
      <c r="AB129" s="38"/>
      <c r="AC129" s="37"/>
      <c r="AD129" s="39"/>
      <c r="AE129" s="36"/>
      <c r="AF129" s="36"/>
      <c r="AG129" s="36"/>
    </row>
    <row r="130" spans="5:33" x14ac:dyDescent="0.25">
      <c r="E130" s="65" t="s">
        <v>592</v>
      </c>
      <c r="F130" s="70" t="s">
        <v>561</v>
      </c>
      <c r="G130" s="60" t="s">
        <v>699</v>
      </c>
      <c r="H130" s="60" t="s">
        <v>488</v>
      </c>
      <c r="J130" s="4" t="s">
        <v>319</v>
      </c>
      <c r="K130" s="3" t="s">
        <v>420</v>
      </c>
      <c r="L130" s="3" t="s">
        <v>159</v>
      </c>
      <c r="AB130" s="38"/>
      <c r="AC130" s="37"/>
      <c r="AD130" s="39"/>
      <c r="AE130" s="36"/>
      <c r="AF130" s="36"/>
      <c r="AG130" s="36"/>
    </row>
    <row r="131" spans="5:33" x14ac:dyDescent="0.25">
      <c r="E131" s="65" t="s">
        <v>901</v>
      </c>
      <c r="F131" s="70" t="s">
        <v>561</v>
      </c>
      <c r="G131" s="60" t="s">
        <v>902</v>
      </c>
      <c r="H131" s="60" t="s">
        <v>488</v>
      </c>
      <c r="J131" s="4" t="s">
        <v>320</v>
      </c>
      <c r="K131" s="3" t="s">
        <v>415</v>
      </c>
      <c r="L131" s="3" t="s">
        <v>321</v>
      </c>
      <c r="AB131" s="38"/>
      <c r="AC131" s="37"/>
      <c r="AD131" s="39"/>
      <c r="AE131" s="36"/>
      <c r="AF131" s="36"/>
      <c r="AG131" s="36"/>
    </row>
    <row r="132" spans="5:33" x14ac:dyDescent="0.25">
      <c r="E132" s="65" t="s">
        <v>593</v>
      </c>
      <c r="F132" s="70" t="s">
        <v>561</v>
      </c>
      <c r="G132" s="60" t="s">
        <v>700</v>
      </c>
      <c r="H132" s="60" t="s">
        <v>488</v>
      </c>
      <c r="J132" s="4" t="s">
        <v>322</v>
      </c>
      <c r="K132" s="3" t="s">
        <v>416</v>
      </c>
      <c r="L132" s="3" t="s">
        <v>321</v>
      </c>
      <c r="AB132" s="38"/>
      <c r="AC132" s="37"/>
      <c r="AD132" s="39"/>
      <c r="AE132" s="36"/>
      <c r="AF132" s="36"/>
      <c r="AG132" s="36"/>
    </row>
    <row r="133" spans="5:33" x14ac:dyDescent="0.25">
      <c r="E133" s="65" t="s">
        <v>594</v>
      </c>
      <c r="F133" s="70" t="s">
        <v>561</v>
      </c>
      <c r="G133" s="60" t="s">
        <v>701</v>
      </c>
      <c r="H133" s="60" t="s">
        <v>488</v>
      </c>
      <c r="J133" s="4" t="s">
        <v>323</v>
      </c>
      <c r="K133" s="3" t="s">
        <v>422</v>
      </c>
      <c r="L133" s="3" t="s">
        <v>324</v>
      </c>
      <c r="AB133" s="38"/>
      <c r="AC133" s="37"/>
      <c r="AD133" s="39"/>
      <c r="AE133" s="36"/>
      <c r="AF133" s="36"/>
      <c r="AG133" s="36"/>
    </row>
    <row r="134" spans="5:33" x14ac:dyDescent="0.25">
      <c r="E134" s="65" t="s">
        <v>595</v>
      </c>
      <c r="F134" s="70" t="s">
        <v>561</v>
      </c>
      <c r="G134" s="60" t="s">
        <v>702</v>
      </c>
      <c r="H134" s="60" t="s">
        <v>488</v>
      </c>
      <c r="J134" s="65" t="s">
        <v>615</v>
      </c>
      <c r="K134" s="60" t="s">
        <v>632</v>
      </c>
      <c r="L134" s="92" t="s">
        <v>185</v>
      </c>
      <c r="AB134" s="38"/>
      <c r="AC134" s="37"/>
      <c r="AD134" s="39"/>
      <c r="AE134" s="36"/>
      <c r="AF134" s="36"/>
      <c r="AG134" s="36"/>
    </row>
    <row r="135" spans="5:33" x14ac:dyDescent="0.25">
      <c r="E135" s="65" t="s">
        <v>596</v>
      </c>
      <c r="F135" s="70" t="s">
        <v>561</v>
      </c>
      <c r="G135" s="60" t="s">
        <v>703</v>
      </c>
      <c r="H135" s="60" t="s">
        <v>488</v>
      </c>
      <c r="J135" s="65" t="s">
        <v>832</v>
      </c>
      <c r="K135" s="60" t="s">
        <v>833</v>
      </c>
      <c r="L135" s="92" t="s">
        <v>185</v>
      </c>
      <c r="AB135" s="38"/>
      <c r="AC135" s="37"/>
      <c r="AD135" s="39"/>
      <c r="AE135" s="36"/>
      <c r="AF135" s="36"/>
      <c r="AG135" s="36"/>
    </row>
    <row r="136" spans="5:33" x14ac:dyDescent="0.25">
      <c r="E136" s="65" t="s">
        <v>597</v>
      </c>
      <c r="F136" s="70" t="s">
        <v>561</v>
      </c>
      <c r="G136" s="60" t="s">
        <v>704</v>
      </c>
      <c r="H136" s="60" t="s">
        <v>488</v>
      </c>
      <c r="J136" s="65" t="s">
        <v>937</v>
      </c>
      <c r="K136" s="60" t="s">
        <v>938</v>
      </c>
      <c r="L136" s="92" t="s">
        <v>939</v>
      </c>
      <c r="AB136" s="38"/>
      <c r="AC136" s="37"/>
      <c r="AD136" s="39"/>
      <c r="AE136" s="36"/>
      <c r="AF136" s="36"/>
      <c r="AG136" s="36"/>
    </row>
    <row r="137" spans="5:33" x14ac:dyDescent="0.25">
      <c r="E137" s="65" t="s">
        <v>598</v>
      </c>
      <c r="F137" s="70" t="s">
        <v>561</v>
      </c>
      <c r="G137" s="60" t="s">
        <v>705</v>
      </c>
      <c r="H137" s="60" t="s">
        <v>488</v>
      </c>
      <c r="J137" s="65" t="s">
        <v>940</v>
      </c>
      <c r="K137" s="60" t="s">
        <v>941</v>
      </c>
      <c r="L137" s="92" t="s">
        <v>939</v>
      </c>
      <c r="AB137" s="38"/>
      <c r="AC137" s="37"/>
      <c r="AD137" s="39"/>
      <c r="AE137" s="36"/>
      <c r="AF137" s="36"/>
      <c r="AG137" s="36"/>
    </row>
    <row r="138" spans="5:33" x14ac:dyDescent="0.25">
      <c r="E138" s="65" t="s">
        <v>599</v>
      </c>
      <c r="F138" s="70" t="s">
        <v>561</v>
      </c>
      <c r="G138" s="60" t="s">
        <v>706</v>
      </c>
      <c r="H138" s="60" t="s">
        <v>488</v>
      </c>
      <c r="J138" s="65" t="s">
        <v>786</v>
      </c>
      <c r="K138" s="60" t="s">
        <v>809</v>
      </c>
      <c r="L138" s="60" t="s">
        <v>827</v>
      </c>
      <c r="AB138" s="38"/>
      <c r="AC138" s="37"/>
      <c r="AD138" s="39"/>
      <c r="AE138" s="36"/>
      <c r="AF138" s="36"/>
      <c r="AG138" s="36"/>
    </row>
    <row r="139" spans="5:33" x14ac:dyDescent="0.25">
      <c r="E139" s="65" t="s">
        <v>600</v>
      </c>
      <c r="F139" s="70" t="s">
        <v>561</v>
      </c>
      <c r="G139" s="60" t="s">
        <v>707</v>
      </c>
      <c r="H139" s="60" t="s">
        <v>488</v>
      </c>
      <c r="J139" s="65" t="s">
        <v>787</v>
      </c>
      <c r="K139" s="60" t="s">
        <v>813</v>
      </c>
      <c r="L139" s="60" t="s">
        <v>760</v>
      </c>
      <c r="AB139" s="38"/>
      <c r="AC139" s="37"/>
      <c r="AD139" s="39"/>
      <c r="AE139" s="36"/>
      <c r="AF139" s="36"/>
      <c r="AG139" s="36"/>
    </row>
    <row r="140" spans="5:33" x14ac:dyDescent="0.25">
      <c r="E140" s="65" t="s">
        <v>903</v>
      </c>
      <c r="F140" s="70" t="s">
        <v>561</v>
      </c>
      <c r="G140" s="60" t="s">
        <v>904</v>
      </c>
      <c r="H140" s="60" t="s">
        <v>488</v>
      </c>
      <c r="J140" s="65" t="s">
        <v>788</v>
      </c>
      <c r="K140" s="60" t="s">
        <v>810</v>
      </c>
      <c r="L140" s="92" t="s">
        <v>185</v>
      </c>
      <c r="AB140" s="38"/>
      <c r="AC140" s="37"/>
      <c r="AD140" s="39"/>
      <c r="AE140" s="36"/>
      <c r="AF140" s="36"/>
      <c r="AG140" s="36"/>
    </row>
    <row r="141" spans="5:33" x14ac:dyDescent="0.25">
      <c r="E141" s="65" t="s">
        <v>601</v>
      </c>
      <c r="F141" s="70" t="s">
        <v>561</v>
      </c>
      <c r="G141" s="60" t="s">
        <v>708</v>
      </c>
      <c r="H141" s="60" t="s">
        <v>488</v>
      </c>
      <c r="J141" s="65" t="s">
        <v>793</v>
      </c>
      <c r="K141" s="60" t="s">
        <v>819</v>
      </c>
      <c r="L141" s="60" t="s">
        <v>829</v>
      </c>
      <c r="AB141" s="38"/>
      <c r="AC141" s="37"/>
      <c r="AD141" s="39"/>
      <c r="AE141" s="36"/>
      <c r="AF141" s="36"/>
      <c r="AG141" s="36"/>
    </row>
    <row r="142" spans="5:33" x14ac:dyDescent="0.25">
      <c r="E142" s="65" t="s">
        <v>602</v>
      </c>
      <c r="F142" s="70" t="s">
        <v>561</v>
      </c>
      <c r="G142" s="60" t="s">
        <v>709</v>
      </c>
      <c r="H142" s="60" t="s">
        <v>488</v>
      </c>
      <c r="J142" s="65" t="s">
        <v>789</v>
      </c>
      <c r="K142" s="60" t="s">
        <v>814</v>
      </c>
      <c r="L142" s="60" t="s">
        <v>790</v>
      </c>
      <c r="AB142" s="38"/>
      <c r="AC142" s="37"/>
      <c r="AD142" s="39"/>
      <c r="AE142" s="36"/>
      <c r="AF142" s="36"/>
      <c r="AG142" s="36"/>
    </row>
    <row r="143" spans="5:33" x14ac:dyDescent="0.25">
      <c r="E143" s="65" t="s">
        <v>905</v>
      </c>
      <c r="F143" s="70" t="s">
        <v>561</v>
      </c>
      <c r="G143" s="60" t="s">
        <v>906</v>
      </c>
      <c r="H143" s="60" t="s">
        <v>488</v>
      </c>
      <c r="J143" s="65" t="s">
        <v>791</v>
      </c>
      <c r="K143" s="60" t="s">
        <v>812</v>
      </c>
      <c r="L143" s="60" t="s">
        <v>761</v>
      </c>
      <c r="AB143" s="38"/>
      <c r="AC143" s="37"/>
      <c r="AD143" s="39"/>
      <c r="AE143" s="36"/>
      <c r="AF143" s="36"/>
      <c r="AG143" s="36"/>
    </row>
    <row r="144" spans="5:33" x14ac:dyDescent="0.25">
      <c r="E144" s="65" t="s">
        <v>603</v>
      </c>
      <c r="F144" s="70" t="s">
        <v>561</v>
      </c>
      <c r="G144" s="60" t="s">
        <v>710</v>
      </c>
      <c r="H144" s="60" t="s">
        <v>488</v>
      </c>
      <c r="J144" s="65" t="s">
        <v>792</v>
      </c>
      <c r="K144" s="60" t="s">
        <v>811</v>
      </c>
      <c r="L144" s="92" t="s">
        <v>185</v>
      </c>
      <c r="AB144" s="38"/>
      <c r="AC144" s="37"/>
      <c r="AD144" s="39"/>
      <c r="AE144" s="36"/>
      <c r="AF144" s="36"/>
      <c r="AG144" s="36"/>
    </row>
    <row r="145" spans="5:33" x14ac:dyDescent="0.25">
      <c r="E145" s="65" t="s">
        <v>604</v>
      </c>
      <c r="F145" s="70" t="s">
        <v>561</v>
      </c>
      <c r="G145" s="60" t="s">
        <v>711</v>
      </c>
      <c r="H145" s="60" t="s">
        <v>488</v>
      </c>
      <c r="J145" s="65" t="s">
        <v>794</v>
      </c>
      <c r="K145" s="60" t="s">
        <v>820</v>
      </c>
      <c r="L145" s="60" t="s">
        <v>828</v>
      </c>
      <c r="AB145" s="38"/>
      <c r="AC145" s="37"/>
      <c r="AD145" s="39"/>
      <c r="AE145" s="36"/>
      <c r="AF145" s="36"/>
      <c r="AG145" s="36"/>
    </row>
    <row r="146" spans="5:33" x14ac:dyDescent="0.25">
      <c r="E146" s="65" t="s">
        <v>907</v>
      </c>
      <c r="F146" s="70" t="s">
        <v>561</v>
      </c>
      <c r="G146" s="60" t="s">
        <v>908</v>
      </c>
      <c r="H146" s="60" t="s">
        <v>488</v>
      </c>
      <c r="J146" s="65" t="s">
        <v>795</v>
      </c>
      <c r="K146" s="60" t="s">
        <v>815</v>
      </c>
      <c r="L146" s="92" t="s">
        <v>185</v>
      </c>
      <c r="AB146" s="38"/>
      <c r="AC146" s="37"/>
      <c r="AD146" s="39"/>
      <c r="AE146" s="36"/>
      <c r="AF146" s="36"/>
      <c r="AG146" s="36"/>
    </row>
    <row r="147" spans="5:33" x14ac:dyDescent="0.25">
      <c r="E147" s="65" t="s">
        <v>605</v>
      </c>
      <c r="F147" s="70" t="s">
        <v>561</v>
      </c>
      <c r="G147" s="60" t="s">
        <v>712</v>
      </c>
      <c r="H147" s="60" t="s">
        <v>488</v>
      </c>
      <c r="J147" s="65" t="s">
        <v>834</v>
      </c>
      <c r="K147" s="60" t="s">
        <v>916</v>
      </c>
      <c r="L147" s="92" t="s">
        <v>185</v>
      </c>
      <c r="M147" t="str">
        <f t="shared" ref="M147:M151" si="1">IF(ISNA(VLOOKUP(J923,$O$167:$P$269,2,FALSE))=TRUE,"",VLOOKUP(J923,$O$167:$P$269,2,FALSE))</f>
        <v/>
      </c>
      <c r="AB147" s="38"/>
      <c r="AC147" s="37"/>
      <c r="AD147" s="39"/>
      <c r="AE147" s="36"/>
      <c r="AF147" s="36"/>
      <c r="AG147" s="36"/>
    </row>
    <row r="148" spans="5:33" x14ac:dyDescent="0.25">
      <c r="E148" s="65" t="s">
        <v>606</v>
      </c>
      <c r="F148" s="70" t="s">
        <v>561</v>
      </c>
      <c r="G148" s="60" t="s">
        <v>713</v>
      </c>
      <c r="H148" s="60" t="s">
        <v>488</v>
      </c>
      <c r="J148" s="65" t="s">
        <v>796</v>
      </c>
      <c r="K148" s="60" t="s">
        <v>816</v>
      </c>
      <c r="L148" s="60" t="s">
        <v>162</v>
      </c>
      <c r="M148" t="str">
        <f t="shared" si="1"/>
        <v/>
      </c>
      <c r="AB148" s="38"/>
      <c r="AC148" s="37"/>
      <c r="AD148" s="39"/>
      <c r="AE148" s="36"/>
      <c r="AF148" s="36"/>
      <c r="AG148" s="36"/>
    </row>
    <row r="149" spans="5:33" x14ac:dyDescent="0.25">
      <c r="E149" s="65" t="s">
        <v>607</v>
      </c>
      <c r="F149" s="70" t="s">
        <v>561</v>
      </c>
      <c r="G149" s="60" t="s">
        <v>714</v>
      </c>
      <c r="H149" s="60" t="s">
        <v>488</v>
      </c>
      <c r="J149" s="65" t="s">
        <v>797</v>
      </c>
      <c r="K149" s="60" t="s">
        <v>817</v>
      </c>
      <c r="L149" s="60" t="s">
        <v>830</v>
      </c>
      <c r="M149" t="str">
        <f t="shared" si="1"/>
        <v/>
      </c>
      <c r="AB149" s="38"/>
      <c r="AC149" s="37"/>
      <c r="AD149" s="39"/>
      <c r="AE149" s="36"/>
      <c r="AF149" s="36"/>
      <c r="AG149" s="36"/>
    </row>
    <row r="150" spans="5:33" x14ac:dyDescent="0.25">
      <c r="E150" s="74" t="s">
        <v>608</v>
      </c>
      <c r="F150" s="76" t="s">
        <v>561</v>
      </c>
      <c r="G150" s="75" t="s">
        <v>715</v>
      </c>
      <c r="H150" s="75"/>
      <c r="J150" s="65" t="s">
        <v>798</v>
      </c>
      <c r="K150" s="60" t="s">
        <v>818</v>
      </c>
      <c r="L150" s="60" t="s">
        <v>831</v>
      </c>
      <c r="M150" t="str">
        <f t="shared" si="1"/>
        <v/>
      </c>
      <c r="AB150" s="38"/>
      <c r="AC150" s="37"/>
      <c r="AD150" s="39"/>
      <c r="AE150" s="36"/>
      <c r="AF150" s="36"/>
      <c r="AG150" s="36"/>
    </row>
    <row r="151" spans="5:33" x14ac:dyDescent="0.25">
      <c r="E151" s="74" t="s">
        <v>609</v>
      </c>
      <c r="F151" s="76" t="s">
        <v>561</v>
      </c>
      <c r="G151" s="75" t="s">
        <v>716</v>
      </c>
      <c r="H151" s="75"/>
      <c r="J151" s="65" t="s">
        <v>799</v>
      </c>
      <c r="K151" s="60" t="s">
        <v>821</v>
      </c>
      <c r="L151" s="60" t="s">
        <v>203</v>
      </c>
      <c r="M151" t="str">
        <f t="shared" si="1"/>
        <v/>
      </c>
      <c r="AB151" s="38"/>
      <c r="AC151" s="37"/>
      <c r="AD151" s="39"/>
      <c r="AE151" s="36"/>
      <c r="AF151" s="36"/>
      <c r="AG151" s="36"/>
    </row>
    <row r="152" spans="5:33" x14ac:dyDescent="0.25">
      <c r="E152" s="74" t="s">
        <v>610</v>
      </c>
      <c r="F152" s="76" t="s">
        <v>561</v>
      </c>
      <c r="G152" s="75" t="s">
        <v>717</v>
      </c>
      <c r="H152" s="75"/>
      <c r="J152" s="65" t="s">
        <v>800</v>
      </c>
      <c r="K152" s="60" t="s">
        <v>802</v>
      </c>
      <c r="L152" s="92" t="s">
        <v>185</v>
      </c>
      <c r="M152" t="str">
        <f>IF(ISNA(VLOOKUP(J928,$O$167:$P$269,2,FALSE))=TRUE,"",VLOOKUP(J928,$O$167:$P$269,2,FALSE))</f>
        <v/>
      </c>
      <c r="AB152" s="38"/>
      <c r="AC152" s="37"/>
      <c r="AD152" s="39"/>
      <c r="AE152" s="36"/>
      <c r="AF152" s="36"/>
      <c r="AG152" s="36"/>
    </row>
    <row r="153" spans="5:33" x14ac:dyDescent="0.25">
      <c r="E153" s="74" t="s">
        <v>611</v>
      </c>
      <c r="F153" s="76" t="s">
        <v>561</v>
      </c>
      <c r="G153" s="75" t="s">
        <v>718</v>
      </c>
      <c r="H153" s="75"/>
      <c r="J153" s="65" t="s">
        <v>803</v>
      </c>
      <c r="K153" s="60" t="s">
        <v>801</v>
      </c>
      <c r="L153" s="92" t="s">
        <v>185</v>
      </c>
      <c r="M153" t="str">
        <f>IF(ISNA(VLOOKUP(J929,$O$167:$P$269,2,FALSE))=TRUE,"",VLOOKUP(J929,$O$167:$P$269,2,FALSE))</f>
        <v/>
      </c>
      <c r="AB153" s="38"/>
      <c r="AC153" s="37"/>
      <c r="AD153" s="39"/>
      <c r="AE153" s="36"/>
      <c r="AF153" s="36"/>
      <c r="AG153" s="36"/>
    </row>
    <row r="154" spans="5:33" x14ac:dyDescent="0.25">
      <c r="E154" s="74" t="s">
        <v>612</v>
      </c>
      <c r="F154" s="76" t="s">
        <v>561</v>
      </c>
      <c r="G154" s="75" t="s">
        <v>719</v>
      </c>
      <c r="H154" s="75"/>
      <c r="J154" s="65" t="s">
        <v>835</v>
      </c>
      <c r="K154" s="60" t="s">
        <v>925</v>
      </c>
      <c r="L154" s="92" t="s">
        <v>185</v>
      </c>
      <c r="M154" t="str">
        <f>IF(ISNA(VLOOKUP(J930,$O$167:$P$269,2,FALSE))=TRUE,"",VLOOKUP(J930,$O$167:$P$269,2,FALSE))</f>
        <v/>
      </c>
      <c r="AB154" s="38"/>
      <c r="AC154" s="37"/>
      <c r="AD154" s="39"/>
      <c r="AE154" s="36"/>
      <c r="AF154" s="36"/>
      <c r="AG154" s="36"/>
    </row>
    <row r="155" spans="5:33" x14ac:dyDescent="0.25">
      <c r="E155" s="74" t="s">
        <v>613</v>
      </c>
      <c r="F155" s="76" t="s">
        <v>561</v>
      </c>
      <c r="G155" s="75" t="s">
        <v>720</v>
      </c>
      <c r="H155" s="75"/>
      <c r="J155" s="65" t="s">
        <v>804</v>
      </c>
      <c r="K155" s="60" t="s">
        <v>822</v>
      </c>
      <c r="L155" s="60" t="s">
        <v>203</v>
      </c>
      <c r="M155" t="str">
        <f>IF(ISNA(VLOOKUP(J931,$O$167:$P$269,2,FALSE))=TRUE,"",VLOOKUP(J931,$O$167:$P$269,2,FALSE))</f>
        <v/>
      </c>
      <c r="AB155" s="38"/>
      <c r="AC155" s="37"/>
      <c r="AD155" s="39"/>
      <c r="AE155" s="36"/>
      <c r="AF155" s="36"/>
      <c r="AG155" s="36"/>
    </row>
    <row r="156" spans="5:33" x14ac:dyDescent="0.25">
      <c r="E156" s="74" t="s">
        <v>614</v>
      </c>
      <c r="F156" s="76" t="s">
        <v>561</v>
      </c>
      <c r="G156" s="75" t="s">
        <v>721</v>
      </c>
      <c r="H156" s="75" t="s">
        <v>488</v>
      </c>
      <c r="J156" s="65" t="s">
        <v>805</v>
      </c>
      <c r="K156" s="60" t="s">
        <v>823</v>
      </c>
      <c r="L156" s="60" t="s">
        <v>162</v>
      </c>
      <c r="AB156" s="38"/>
      <c r="AC156" s="37"/>
      <c r="AD156" s="39"/>
      <c r="AE156" s="36"/>
      <c r="AF156" s="36"/>
      <c r="AG156" s="36"/>
    </row>
    <row r="157" spans="5:33" x14ac:dyDescent="0.25">
      <c r="E157" s="74" t="s">
        <v>616</v>
      </c>
      <c r="F157" s="76" t="s">
        <v>562</v>
      </c>
      <c r="G157" s="75" t="s">
        <v>722</v>
      </c>
      <c r="H157" s="75" t="s">
        <v>488</v>
      </c>
      <c r="J157" s="65" t="s">
        <v>806</v>
      </c>
      <c r="K157" s="60" t="s">
        <v>824</v>
      </c>
      <c r="L157" s="60" t="s">
        <v>830</v>
      </c>
      <c r="AB157" s="38"/>
      <c r="AC157" s="37"/>
      <c r="AD157" s="39"/>
      <c r="AE157" s="36"/>
      <c r="AF157" s="36"/>
      <c r="AG157" s="36"/>
    </row>
    <row r="158" spans="5:33" x14ac:dyDescent="0.25">
      <c r="E158" s="74" t="s">
        <v>617</v>
      </c>
      <c r="F158" s="75" t="s">
        <v>562</v>
      </c>
      <c r="G158" s="75" t="s">
        <v>723</v>
      </c>
      <c r="H158" s="75" t="s">
        <v>488</v>
      </c>
      <c r="J158" s="65" t="s">
        <v>807</v>
      </c>
      <c r="K158" s="60" t="s">
        <v>825</v>
      </c>
      <c r="L158" s="60" t="s">
        <v>831</v>
      </c>
      <c r="AB158" s="38"/>
      <c r="AC158" s="37"/>
      <c r="AD158" s="39"/>
      <c r="AE158" s="36"/>
      <c r="AF158" s="36"/>
      <c r="AG158" s="36"/>
    </row>
    <row r="159" spans="5:33" x14ac:dyDescent="0.25">
      <c r="E159" s="74" t="s">
        <v>618</v>
      </c>
      <c r="F159" s="75" t="s">
        <v>562</v>
      </c>
      <c r="G159" s="75" t="s">
        <v>724</v>
      </c>
      <c r="H159" s="75" t="s">
        <v>488</v>
      </c>
      <c r="J159" s="65" t="s">
        <v>808</v>
      </c>
      <c r="K159" s="60" t="s">
        <v>826</v>
      </c>
      <c r="L159" s="60" t="s">
        <v>162</v>
      </c>
      <c r="AB159" s="38"/>
      <c r="AC159" s="37"/>
      <c r="AD159" s="39"/>
      <c r="AE159" s="36"/>
      <c r="AF159" s="36"/>
      <c r="AG159" s="36"/>
    </row>
    <row r="160" spans="5:33" x14ac:dyDescent="0.25">
      <c r="E160" s="74" t="s">
        <v>619</v>
      </c>
      <c r="F160" s="75" t="s">
        <v>562</v>
      </c>
      <c r="G160" s="75" t="s">
        <v>725</v>
      </c>
      <c r="H160" s="75" t="s">
        <v>488</v>
      </c>
      <c r="J160" s="65" t="s">
        <v>478</v>
      </c>
      <c r="K160" s="60" t="s">
        <v>550</v>
      </c>
      <c r="L160" s="60" t="s">
        <v>479</v>
      </c>
      <c r="AB160" s="38"/>
      <c r="AC160" s="37"/>
      <c r="AD160" s="39"/>
      <c r="AE160" s="36"/>
      <c r="AF160" s="36"/>
      <c r="AG160" s="36"/>
    </row>
    <row r="161" spans="5:33" x14ac:dyDescent="0.25">
      <c r="E161" s="74" t="s">
        <v>620</v>
      </c>
      <c r="F161" s="75" t="s">
        <v>562</v>
      </c>
      <c r="G161" s="75" t="s">
        <v>726</v>
      </c>
      <c r="H161" s="75" t="s">
        <v>488</v>
      </c>
      <c r="J161" s="65" t="s">
        <v>480</v>
      </c>
      <c r="K161" s="60" t="s">
        <v>551</v>
      </c>
      <c r="L161" s="60" t="s">
        <v>479</v>
      </c>
      <c r="AB161" s="38"/>
      <c r="AC161" s="37"/>
      <c r="AD161" s="39"/>
      <c r="AE161" s="36"/>
      <c r="AF161" s="36"/>
      <c r="AG161" s="36"/>
    </row>
    <row r="162" spans="5:33" x14ac:dyDescent="0.25">
      <c r="E162" s="74" t="s">
        <v>620</v>
      </c>
      <c r="F162" s="75" t="s">
        <v>562</v>
      </c>
      <c r="G162" s="75" t="s">
        <v>726</v>
      </c>
      <c r="H162" s="75" t="s">
        <v>488</v>
      </c>
      <c r="J162" s="65" t="s">
        <v>346</v>
      </c>
      <c r="K162" s="60" t="s">
        <v>408</v>
      </c>
      <c r="L162" s="60" t="s">
        <v>185</v>
      </c>
      <c r="AB162" s="38"/>
      <c r="AC162" s="37"/>
      <c r="AD162" s="39"/>
      <c r="AE162" s="36"/>
      <c r="AF162" s="36"/>
      <c r="AG162" s="36"/>
    </row>
    <row r="163" spans="5:33" x14ac:dyDescent="0.25">
      <c r="H163" s="18"/>
      <c r="J163" s="65" t="s">
        <v>345</v>
      </c>
      <c r="K163" s="60" t="s">
        <v>407</v>
      </c>
      <c r="L163" s="92" t="s">
        <v>162</v>
      </c>
      <c r="AB163" s="38"/>
      <c r="AC163" s="37"/>
      <c r="AD163" s="39"/>
      <c r="AE163" s="36"/>
      <c r="AF163" s="36"/>
      <c r="AG163" s="36"/>
    </row>
    <row r="164" spans="5:33" x14ac:dyDescent="0.25">
      <c r="H164" s="18"/>
      <c r="J164" s="65" t="s">
        <v>352</v>
      </c>
      <c r="K164" s="60" t="s">
        <v>400</v>
      </c>
      <c r="L164" s="92" t="s">
        <v>481</v>
      </c>
      <c r="AB164" s="38"/>
      <c r="AC164" s="37"/>
      <c r="AD164" s="39"/>
      <c r="AE164" s="36"/>
      <c r="AF164" s="36"/>
      <c r="AG164" s="36"/>
    </row>
    <row r="165" spans="5:33" x14ac:dyDescent="0.25">
      <c r="H165" s="18"/>
      <c r="J165" s="65" t="s">
        <v>355</v>
      </c>
      <c r="K165" s="60" t="s">
        <v>403</v>
      </c>
      <c r="L165" s="60" t="s">
        <v>482</v>
      </c>
      <c r="AB165" s="38"/>
      <c r="AC165" s="37"/>
      <c r="AD165" s="39"/>
      <c r="AE165" s="36"/>
      <c r="AF165" s="36"/>
      <c r="AG165" s="36"/>
    </row>
    <row r="166" spans="5:33" x14ac:dyDescent="0.25">
      <c r="H166" s="18"/>
      <c r="J166" s="65" t="s">
        <v>356</v>
      </c>
      <c r="K166" s="60" t="s">
        <v>404</v>
      </c>
      <c r="L166" s="60" t="s">
        <v>483</v>
      </c>
      <c r="AB166" s="38"/>
      <c r="AC166" s="37"/>
      <c r="AD166" s="39"/>
      <c r="AE166" s="36"/>
      <c r="AF166" s="36"/>
      <c r="AG166" s="36"/>
    </row>
    <row r="167" spans="5:33" x14ac:dyDescent="0.25">
      <c r="H167" s="18"/>
      <c r="J167" s="65" t="s">
        <v>358</v>
      </c>
      <c r="K167" s="60" t="s">
        <v>406</v>
      </c>
      <c r="L167" s="60" t="s">
        <v>481</v>
      </c>
      <c r="AB167" s="38"/>
      <c r="AC167" s="37"/>
      <c r="AD167" s="39"/>
      <c r="AE167" s="36"/>
      <c r="AF167" s="36"/>
      <c r="AG167" s="36"/>
    </row>
    <row r="168" spans="5:33" x14ac:dyDescent="0.25">
      <c r="H168" s="18"/>
      <c r="J168" s="65" t="s">
        <v>357</v>
      </c>
      <c r="K168" s="60" t="s">
        <v>405</v>
      </c>
      <c r="L168" s="60" t="s">
        <v>481</v>
      </c>
      <c r="AB168" s="38"/>
      <c r="AC168" s="37"/>
      <c r="AD168" s="39"/>
      <c r="AE168" s="36"/>
      <c r="AF168" s="36"/>
      <c r="AG168" s="36"/>
    </row>
    <row r="169" spans="5:33" x14ac:dyDescent="0.25">
      <c r="H169" s="18"/>
      <c r="J169" s="65" t="s">
        <v>484</v>
      </c>
      <c r="K169" s="60" t="s">
        <v>553</v>
      </c>
      <c r="L169" s="60" t="s">
        <v>481</v>
      </c>
      <c r="AB169" s="38"/>
      <c r="AC169" s="37"/>
      <c r="AD169" s="39"/>
      <c r="AE169" s="36"/>
      <c r="AF169" s="36"/>
      <c r="AG169" s="36"/>
    </row>
    <row r="170" spans="5:33" x14ac:dyDescent="0.25">
      <c r="H170" s="18"/>
      <c r="J170" s="65" t="s">
        <v>485</v>
      </c>
      <c r="K170" s="60" t="s">
        <v>552</v>
      </c>
      <c r="L170" s="60" t="s">
        <v>481</v>
      </c>
      <c r="AB170" s="38"/>
      <c r="AC170" s="37"/>
      <c r="AD170" s="39"/>
      <c r="AE170" s="36"/>
      <c r="AF170" s="36"/>
      <c r="AG170" s="36"/>
    </row>
    <row r="171" spans="5:33" x14ac:dyDescent="0.25">
      <c r="H171" s="18"/>
      <c r="J171" s="65" t="s">
        <v>354</v>
      </c>
      <c r="K171" s="60" t="s">
        <v>402</v>
      </c>
      <c r="L171" s="60" t="s">
        <v>486</v>
      </c>
      <c r="AB171" s="38"/>
      <c r="AC171" s="37"/>
      <c r="AD171" s="39"/>
      <c r="AE171" s="36"/>
      <c r="AF171" s="36"/>
      <c r="AG171" s="36"/>
    </row>
    <row r="172" spans="5:33" x14ac:dyDescent="0.25">
      <c r="H172" s="18"/>
      <c r="J172" s="65" t="s">
        <v>353</v>
      </c>
      <c r="K172" s="60" t="s">
        <v>401</v>
      </c>
      <c r="L172" s="60" t="s">
        <v>486</v>
      </c>
      <c r="AB172" s="38"/>
      <c r="AC172" s="37"/>
      <c r="AD172" s="39"/>
      <c r="AE172" s="36"/>
      <c r="AF172" s="36"/>
      <c r="AG172" s="36"/>
    </row>
    <row r="173" spans="5:33" x14ac:dyDescent="0.25">
      <c r="H173" s="18"/>
      <c r="J173" s="65" t="s">
        <v>347</v>
      </c>
      <c r="K173" s="60" t="s">
        <v>377</v>
      </c>
      <c r="L173" s="60" t="s">
        <v>481</v>
      </c>
      <c r="AB173" s="38"/>
      <c r="AC173" s="37"/>
      <c r="AD173" s="39"/>
      <c r="AE173" s="36"/>
      <c r="AF173" s="36"/>
      <c r="AG173" s="36"/>
    </row>
    <row r="174" spans="5:33" x14ac:dyDescent="0.25">
      <c r="H174" s="18"/>
      <c r="J174" s="65" t="s">
        <v>348</v>
      </c>
      <c r="K174" s="60" t="s">
        <v>378</v>
      </c>
      <c r="L174" s="60" t="s">
        <v>482</v>
      </c>
      <c r="AB174" s="38"/>
      <c r="AC174" s="37"/>
      <c r="AD174" s="39"/>
      <c r="AE174" s="36"/>
      <c r="AF174" s="36"/>
      <c r="AG174" s="36"/>
    </row>
    <row r="175" spans="5:33" x14ac:dyDescent="0.25">
      <c r="H175" s="18"/>
      <c r="J175" s="65" t="s">
        <v>349</v>
      </c>
      <c r="K175" s="60" t="s">
        <v>379</v>
      </c>
      <c r="L175" s="92" t="s">
        <v>483</v>
      </c>
      <c r="AB175" s="38"/>
      <c r="AC175" s="37"/>
      <c r="AD175" s="39"/>
      <c r="AE175" s="36"/>
      <c r="AF175" s="36"/>
      <c r="AG175" s="36"/>
    </row>
    <row r="176" spans="5:33" x14ac:dyDescent="0.25">
      <c r="H176" s="18"/>
      <c r="J176" s="65" t="s">
        <v>350</v>
      </c>
      <c r="K176" s="60" t="s">
        <v>380</v>
      </c>
      <c r="L176" s="60" t="s">
        <v>486</v>
      </c>
      <c r="AB176" s="38"/>
      <c r="AC176" s="37"/>
      <c r="AD176" s="39"/>
      <c r="AE176" s="36"/>
      <c r="AF176" s="36"/>
      <c r="AG176" s="36"/>
    </row>
    <row r="177" spans="8:33" x14ac:dyDescent="0.25">
      <c r="H177" s="18"/>
      <c r="J177" s="65" t="s">
        <v>351</v>
      </c>
      <c r="K177" s="60" t="s">
        <v>381</v>
      </c>
      <c r="L177" s="60" t="s">
        <v>486</v>
      </c>
      <c r="AB177" s="38"/>
      <c r="AC177" s="37"/>
      <c r="AD177" s="39"/>
      <c r="AE177" s="36"/>
      <c r="AF177" s="36"/>
      <c r="AG177" s="36"/>
    </row>
    <row r="178" spans="8:33" x14ac:dyDescent="0.25">
      <c r="H178" s="18"/>
      <c r="J178" s="65" t="s">
        <v>621</v>
      </c>
      <c r="K178" s="60" t="s">
        <v>545</v>
      </c>
      <c r="L178" s="92" t="s">
        <v>185</v>
      </c>
      <c r="AB178" s="38"/>
      <c r="AC178" s="37"/>
      <c r="AD178" s="39"/>
      <c r="AE178" s="36"/>
      <c r="AF178" s="36"/>
      <c r="AG178" s="36"/>
    </row>
    <row r="179" spans="8:33" x14ac:dyDescent="0.25">
      <c r="H179" s="18"/>
      <c r="J179" s="65" t="s">
        <v>622</v>
      </c>
      <c r="K179" s="60" t="s">
        <v>544</v>
      </c>
      <c r="L179" s="92" t="s">
        <v>185</v>
      </c>
      <c r="AB179" s="38"/>
      <c r="AC179" s="37"/>
      <c r="AD179" s="39"/>
      <c r="AE179" s="36"/>
      <c r="AF179" s="36"/>
      <c r="AG179" s="36"/>
    </row>
    <row r="180" spans="8:33" x14ac:dyDescent="0.25">
      <c r="H180" s="18"/>
      <c r="J180" s="65" t="s">
        <v>473</v>
      </c>
      <c r="K180" s="60" t="s">
        <v>472</v>
      </c>
      <c r="L180" s="92" t="s">
        <v>185</v>
      </c>
      <c r="AB180" s="38"/>
      <c r="AC180" s="37"/>
      <c r="AD180" s="39"/>
      <c r="AE180" s="36"/>
      <c r="AF180" s="36"/>
      <c r="AG180" s="36"/>
    </row>
    <row r="181" spans="8:33" x14ac:dyDescent="0.25">
      <c r="H181" s="18"/>
      <c r="J181" s="65" t="s">
        <v>623</v>
      </c>
      <c r="K181" s="60" t="s">
        <v>543</v>
      </c>
      <c r="L181" s="92" t="s">
        <v>185</v>
      </c>
      <c r="AB181" s="38"/>
      <c r="AC181" s="37"/>
      <c r="AD181" s="39"/>
      <c r="AE181" s="36"/>
      <c r="AF181" s="36"/>
      <c r="AG181" s="36"/>
    </row>
    <row r="182" spans="8:33" x14ac:dyDescent="0.25">
      <c r="H182" s="18"/>
      <c r="J182" s="65" t="s">
        <v>474</v>
      </c>
      <c r="K182" s="60" t="s">
        <v>546</v>
      </c>
      <c r="L182" s="60" t="s">
        <v>481</v>
      </c>
      <c r="AB182" s="38"/>
      <c r="AC182" s="37"/>
      <c r="AD182" s="39"/>
      <c r="AE182" s="36"/>
      <c r="AF182" s="36"/>
      <c r="AG182" s="36"/>
    </row>
    <row r="183" spans="8:33" x14ac:dyDescent="0.25">
      <c r="H183" s="18"/>
      <c r="J183" s="65" t="s">
        <v>766</v>
      </c>
      <c r="K183" s="60" t="s">
        <v>547</v>
      </c>
      <c r="L183" s="60" t="s">
        <v>481</v>
      </c>
      <c r="AB183" s="38"/>
      <c r="AC183" s="37"/>
      <c r="AD183" s="39"/>
      <c r="AE183" s="36"/>
      <c r="AF183" s="36"/>
      <c r="AG183" s="36"/>
    </row>
    <row r="184" spans="8:33" x14ac:dyDescent="0.25">
      <c r="H184" s="18"/>
      <c r="J184" s="65" t="s">
        <v>624</v>
      </c>
      <c r="K184" s="60" t="s">
        <v>536</v>
      </c>
      <c r="L184" s="60" t="s">
        <v>481</v>
      </c>
      <c r="AB184" s="38"/>
      <c r="AC184" s="37"/>
      <c r="AD184" s="39"/>
      <c r="AE184" s="36"/>
      <c r="AF184" s="36"/>
      <c r="AG184" s="36"/>
    </row>
    <row r="185" spans="8:33" x14ac:dyDescent="0.25">
      <c r="H185" s="18"/>
      <c r="J185" s="65" t="s">
        <v>475</v>
      </c>
      <c r="K185" s="60" t="s">
        <v>548</v>
      </c>
      <c r="L185" s="92" t="s">
        <v>481</v>
      </c>
      <c r="AB185" s="38"/>
      <c r="AC185" s="37"/>
      <c r="AD185" s="39"/>
      <c r="AE185" s="36"/>
      <c r="AF185" s="36"/>
      <c r="AG185" s="36"/>
    </row>
    <row r="186" spans="8:33" x14ac:dyDescent="0.25">
      <c r="H186" s="18"/>
      <c r="J186" s="65" t="s">
        <v>767</v>
      </c>
      <c r="K186" s="60" t="s">
        <v>549</v>
      </c>
      <c r="L186" s="60" t="s">
        <v>481</v>
      </c>
      <c r="AB186" s="38"/>
      <c r="AC186" s="37"/>
      <c r="AD186" s="39"/>
      <c r="AE186" s="36"/>
      <c r="AF186" s="36"/>
      <c r="AG186" s="36"/>
    </row>
    <row r="187" spans="8:33" x14ac:dyDescent="0.25">
      <c r="H187" s="18"/>
      <c r="J187" s="65" t="s">
        <v>625</v>
      </c>
      <c r="K187" s="60" t="s">
        <v>535</v>
      </c>
      <c r="L187" s="60" t="s">
        <v>481</v>
      </c>
      <c r="AB187" s="38"/>
      <c r="AC187" s="37"/>
      <c r="AD187" s="39"/>
      <c r="AE187" s="36"/>
      <c r="AF187" s="36"/>
      <c r="AG187" s="36"/>
    </row>
    <row r="188" spans="8:33" x14ac:dyDescent="0.25">
      <c r="H188" s="18"/>
      <c r="J188" s="65" t="s">
        <v>476</v>
      </c>
      <c r="K188" s="60" t="s">
        <v>742</v>
      </c>
      <c r="L188" s="60" t="s">
        <v>481</v>
      </c>
      <c r="AB188" s="38"/>
      <c r="AC188" s="37"/>
      <c r="AD188" s="39"/>
      <c r="AE188" s="36"/>
      <c r="AF188" s="36"/>
      <c r="AG188" s="36"/>
    </row>
    <row r="189" spans="8:33" x14ac:dyDescent="0.25">
      <c r="H189" s="18"/>
      <c r="J189" s="65" t="s">
        <v>477</v>
      </c>
      <c r="K189" s="60" t="s">
        <v>538</v>
      </c>
      <c r="L189" s="92" t="s">
        <v>481</v>
      </c>
      <c r="AB189" s="38"/>
      <c r="AC189" s="37"/>
      <c r="AD189" s="39"/>
      <c r="AE189" s="36"/>
      <c r="AF189" s="36"/>
      <c r="AG189" s="36"/>
    </row>
    <row r="190" spans="8:33" x14ac:dyDescent="0.25">
      <c r="H190" s="18"/>
      <c r="J190" s="65" t="s">
        <v>626</v>
      </c>
      <c r="K190" s="60" t="s">
        <v>449</v>
      </c>
      <c r="L190" s="60" t="s">
        <v>221</v>
      </c>
      <c r="AB190" s="38"/>
      <c r="AC190" s="37"/>
      <c r="AD190" s="39"/>
      <c r="AE190" s="36"/>
      <c r="AF190" s="36"/>
      <c r="AG190" s="36"/>
    </row>
    <row r="191" spans="8:33" x14ac:dyDescent="0.25">
      <c r="H191" s="18"/>
      <c r="J191" s="65" t="s">
        <v>627</v>
      </c>
      <c r="K191" s="60" t="s">
        <v>450</v>
      </c>
      <c r="L191" s="60" t="s">
        <v>246</v>
      </c>
      <c r="AB191" s="38"/>
      <c r="AC191" s="37"/>
      <c r="AD191" s="39"/>
      <c r="AE191" s="36"/>
      <c r="AF191" s="36"/>
      <c r="AG191" s="36"/>
    </row>
    <row r="192" spans="8:33" x14ac:dyDescent="0.25">
      <c r="H192" s="18"/>
      <c r="J192" s="65" t="s">
        <v>628</v>
      </c>
      <c r="K192" s="60" t="s">
        <v>460</v>
      </c>
      <c r="L192" s="60" t="s">
        <v>221</v>
      </c>
      <c r="AB192" s="38"/>
      <c r="AC192" s="37"/>
      <c r="AD192" s="39"/>
      <c r="AE192" s="36"/>
      <c r="AF192" s="36"/>
      <c r="AG192" s="36"/>
    </row>
    <row r="193" spans="8:33" x14ac:dyDescent="0.25">
      <c r="H193" s="18"/>
      <c r="J193" s="65" t="s">
        <v>629</v>
      </c>
      <c r="K193" s="60" t="s">
        <v>537</v>
      </c>
      <c r="L193" s="60" t="s">
        <v>246</v>
      </c>
      <c r="AB193" s="38"/>
      <c r="AC193" s="37"/>
      <c r="AD193" s="39"/>
      <c r="AE193" s="36"/>
      <c r="AF193" s="36"/>
      <c r="AG193" s="36"/>
    </row>
    <row r="194" spans="8:33" x14ac:dyDescent="0.25">
      <c r="H194" s="18"/>
      <c r="J194" s="65" t="s">
        <v>630</v>
      </c>
      <c r="K194" s="60" t="s">
        <v>541</v>
      </c>
      <c r="L194" s="60" t="s">
        <v>221</v>
      </c>
      <c r="AB194" s="38"/>
      <c r="AC194" s="37"/>
      <c r="AD194" s="39"/>
      <c r="AE194" s="36"/>
      <c r="AF194" s="36"/>
      <c r="AG194" s="36"/>
    </row>
    <row r="195" spans="8:33" x14ac:dyDescent="0.25">
      <c r="H195" s="18"/>
      <c r="J195" s="65" t="s">
        <v>631</v>
      </c>
      <c r="K195" s="60" t="s">
        <v>542</v>
      </c>
      <c r="L195" s="60" t="s">
        <v>246</v>
      </c>
      <c r="AB195" s="38"/>
      <c r="AC195" s="37"/>
      <c r="AD195" s="39"/>
      <c r="AE195" s="36"/>
      <c r="AF195" s="36"/>
      <c r="AG195" s="36"/>
    </row>
    <row r="196" spans="8:33" x14ac:dyDescent="0.25">
      <c r="H196" s="18"/>
      <c r="J196" s="65" t="s">
        <v>359</v>
      </c>
      <c r="K196" s="60" t="s">
        <v>747</v>
      </c>
      <c r="L196" s="60" t="s">
        <v>481</v>
      </c>
      <c r="AB196" s="38"/>
      <c r="AC196" s="37"/>
      <c r="AD196" s="39"/>
      <c r="AE196" s="36"/>
      <c r="AF196" s="36"/>
      <c r="AG196" s="36"/>
    </row>
    <row r="197" spans="8:33" x14ac:dyDescent="0.25">
      <c r="H197" s="18"/>
      <c r="J197" s="65" t="s">
        <v>746</v>
      </c>
      <c r="K197" s="60" t="s">
        <v>748</v>
      </c>
      <c r="L197" s="60" t="s">
        <v>481</v>
      </c>
      <c r="AB197" s="38"/>
      <c r="AC197" s="37"/>
      <c r="AD197" s="39"/>
      <c r="AE197" s="36"/>
      <c r="AF197" s="36"/>
      <c r="AG197" s="36"/>
    </row>
    <row r="198" spans="8:33" x14ac:dyDescent="0.25">
      <c r="J198" s="65" t="s">
        <v>360</v>
      </c>
      <c r="K198" s="60" t="s">
        <v>421</v>
      </c>
      <c r="L198" s="60" t="s">
        <v>481</v>
      </c>
      <c r="AB198" s="38"/>
      <c r="AC198" s="37"/>
      <c r="AD198" s="39"/>
      <c r="AE198" s="36"/>
      <c r="AF198" s="36"/>
      <c r="AG198" s="36"/>
    </row>
    <row r="199" spans="8:33" x14ac:dyDescent="0.25">
      <c r="J199" s="65" t="s">
        <v>361</v>
      </c>
      <c r="K199" s="60" t="s">
        <v>423</v>
      </c>
      <c r="L199" s="60" t="s">
        <v>481</v>
      </c>
      <c r="AB199" s="38"/>
      <c r="AC199" s="37"/>
      <c r="AD199" s="39"/>
      <c r="AE199" s="36"/>
      <c r="AF199" s="36"/>
      <c r="AG199" s="36"/>
    </row>
    <row r="200" spans="8:33" x14ac:dyDescent="0.25">
      <c r="AB200" s="38"/>
      <c r="AC200" s="37"/>
      <c r="AD200" s="39"/>
      <c r="AE200" s="36"/>
      <c r="AF200" s="36"/>
      <c r="AG200" s="36"/>
    </row>
    <row r="201" spans="8:33" x14ac:dyDescent="0.25">
      <c r="AB201" s="38"/>
      <c r="AC201" s="37"/>
      <c r="AD201" s="39"/>
      <c r="AE201" s="36"/>
      <c r="AF201" s="36"/>
      <c r="AG201" s="36"/>
    </row>
    <row r="202" spans="8:33" x14ac:dyDescent="0.25">
      <c r="AB202" s="38"/>
      <c r="AC202" s="37"/>
      <c r="AD202" s="39"/>
      <c r="AE202" s="36"/>
      <c r="AF202" s="36"/>
      <c r="AG202" s="36"/>
    </row>
    <row r="203" spans="8:33" x14ac:dyDescent="0.25">
      <c r="AB203" s="38"/>
      <c r="AC203" s="37"/>
      <c r="AD203" s="39"/>
      <c r="AE203" s="36"/>
      <c r="AF203" s="36"/>
      <c r="AG203" s="36"/>
    </row>
    <row r="204" spans="8:33" x14ac:dyDescent="0.25">
      <c r="AB204" s="38"/>
      <c r="AC204" s="37"/>
      <c r="AD204" s="39"/>
      <c r="AE204" s="36"/>
      <c r="AF204" s="36"/>
      <c r="AG204" s="36"/>
    </row>
    <row r="205" spans="8:33" x14ac:dyDescent="0.25">
      <c r="AB205" s="38"/>
      <c r="AC205" s="37"/>
      <c r="AD205" s="39"/>
      <c r="AE205" s="36"/>
      <c r="AF205" s="36"/>
      <c r="AG205" s="36"/>
    </row>
    <row r="206" spans="8:33" x14ac:dyDescent="0.25">
      <c r="AB206" s="36"/>
      <c r="AC206" s="36"/>
      <c r="AD206" s="36"/>
      <c r="AE206" s="36"/>
      <c r="AF206" s="36"/>
      <c r="AG206" s="36"/>
    </row>
    <row r="207" spans="8:33" x14ac:dyDescent="0.25">
      <c r="AB207" s="36"/>
      <c r="AC207" s="36"/>
      <c r="AD207" s="36"/>
      <c r="AE207" s="36"/>
      <c r="AF207" s="36"/>
      <c r="AG207" s="36"/>
    </row>
    <row r="208" spans="8:33" x14ac:dyDescent="0.25">
      <c r="AB208" s="36"/>
      <c r="AC208" s="36"/>
      <c r="AD208" s="36"/>
      <c r="AE208" s="36"/>
      <c r="AF208" s="36"/>
      <c r="AG208" s="36"/>
    </row>
    <row r="209" spans="28:33" x14ac:dyDescent="0.25">
      <c r="AB209" s="36"/>
      <c r="AC209" s="36"/>
      <c r="AD209" s="36"/>
      <c r="AE209" s="36"/>
      <c r="AF209" s="36"/>
      <c r="AG209" s="36"/>
    </row>
    <row r="210" spans="28:33" x14ac:dyDescent="0.25">
      <c r="AB210" s="36"/>
      <c r="AC210" s="36"/>
      <c r="AD210" s="36"/>
      <c r="AE210" s="36"/>
      <c r="AF210" s="36"/>
      <c r="AG210" s="36"/>
    </row>
    <row r="211" spans="28:33" x14ac:dyDescent="0.25">
      <c r="AB211" s="36"/>
      <c r="AC211" s="36"/>
      <c r="AD211" s="36"/>
      <c r="AE211" s="36"/>
      <c r="AF211" s="36"/>
      <c r="AG211" s="36"/>
    </row>
    <row r="212" spans="28:33" x14ac:dyDescent="0.25">
      <c r="AB212" s="36"/>
      <c r="AC212" s="36"/>
      <c r="AD212" s="36"/>
      <c r="AE212" s="36"/>
      <c r="AF212" s="36"/>
      <c r="AG212" s="36"/>
    </row>
    <row r="213" spans="28:33" x14ac:dyDescent="0.25">
      <c r="AB213" s="36"/>
      <c r="AC213" s="36"/>
      <c r="AD213" s="36"/>
      <c r="AE213" s="36"/>
      <c r="AF213" s="36"/>
      <c r="AG213" s="36"/>
    </row>
    <row r="214" spans="28:33" x14ac:dyDescent="0.25">
      <c r="AB214" s="36"/>
      <c r="AC214" s="36"/>
      <c r="AD214" s="36"/>
      <c r="AE214" s="36"/>
      <c r="AF214" s="36"/>
      <c r="AG214" s="36"/>
    </row>
    <row r="215" spans="28:33" x14ac:dyDescent="0.25">
      <c r="AB215" s="36"/>
      <c r="AC215" s="36"/>
      <c r="AD215" s="36"/>
      <c r="AE215" s="36"/>
      <c r="AF215" s="36"/>
      <c r="AG215" s="36"/>
    </row>
    <row r="216" spans="28:33" x14ac:dyDescent="0.25">
      <c r="AB216" s="36"/>
      <c r="AC216" s="36"/>
      <c r="AD216" s="36"/>
      <c r="AE216" s="36"/>
      <c r="AF216" s="36"/>
      <c r="AG216" s="36"/>
    </row>
    <row r="217" spans="28:33" x14ac:dyDescent="0.25">
      <c r="AB217" s="36"/>
      <c r="AC217" s="36"/>
      <c r="AD217" s="36"/>
      <c r="AE217" s="36"/>
      <c r="AF217" s="36"/>
      <c r="AG217" s="36"/>
    </row>
    <row r="218" spans="28:33" x14ac:dyDescent="0.25">
      <c r="AB218" s="36"/>
      <c r="AC218" s="36"/>
      <c r="AD218" s="36"/>
      <c r="AE218" s="36"/>
      <c r="AF218" s="36"/>
      <c r="AG218" s="36"/>
    </row>
    <row r="219" spans="28:33" x14ac:dyDescent="0.25">
      <c r="AB219" s="36"/>
      <c r="AC219" s="36"/>
      <c r="AD219" s="36"/>
      <c r="AE219" s="36"/>
      <c r="AF219" s="36"/>
      <c r="AG219" s="36"/>
    </row>
    <row r="220" spans="28:33" x14ac:dyDescent="0.25">
      <c r="AB220" s="36"/>
      <c r="AC220" s="36"/>
      <c r="AD220" s="36"/>
      <c r="AE220" s="36"/>
      <c r="AF220" s="36"/>
      <c r="AG220" s="36"/>
    </row>
    <row r="221" spans="28:33" x14ac:dyDescent="0.25">
      <c r="AB221" s="36"/>
      <c r="AC221" s="36"/>
      <c r="AD221" s="36"/>
      <c r="AE221" s="36"/>
      <c r="AF221" s="36"/>
      <c r="AG221" s="36"/>
    </row>
    <row r="222" spans="28:33" x14ac:dyDescent="0.25">
      <c r="AB222" s="36"/>
      <c r="AC222" s="36"/>
      <c r="AD222" s="36"/>
      <c r="AE222" s="36"/>
      <c r="AF222" s="36"/>
      <c r="AG222" s="36"/>
    </row>
    <row r="223" spans="28:33" x14ac:dyDescent="0.25">
      <c r="AB223" s="36"/>
      <c r="AC223" s="36"/>
      <c r="AD223" s="36"/>
      <c r="AE223" s="36"/>
      <c r="AF223" s="36"/>
      <c r="AG223" s="36"/>
    </row>
    <row r="224" spans="28:33" x14ac:dyDescent="0.25">
      <c r="AB224" s="36"/>
      <c r="AC224" s="36"/>
      <c r="AD224" s="36"/>
      <c r="AE224" s="36"/>
      <c r="AF224" s="36"/>
      <c r="AG224" s="36"/>
    </row>
    <row r="225" spans="28:33" x14ac:dyDescent="0.25">
      <c r="AB225" s="36"/>
      <c r="AC225" s="36"/>
      <c r="AD225" s="36"/>
      <c r="AE225" s="36"/>
      <c r="AF225" s="36"/>
      <c r="AG225" s="36"/>
    </row>
    <row r="226" spans="28:33" x14ac:dyDescent="0.25">
      <c r="AB226" s="36"/>
      <c r="AC226" s="36"/>
      <c r="AD226" s="36"/>
      <c r="AE226" s="36"/>
      <c r="AF226" s="36"/>
      <c r="AG226" s="36"/>
    </row>
    <row r="227" spans="28:33" x14ac:dyDescent="0.25">
      <c r="AB227" s="36"/>
      <c r="AC227" s="36"/>
      <c r="AD227" s="36"/>
      <c r="AE227" s="36"/>
      <c r="AF227" s="36"/>
      <c r="AG227" s="36"/>
    </row>
    <row r="228" spans="28:33" x14ac:dyDescent="0.25">
      <c r="AB228" s="36"/>
      <c r="AC228" s="36"/>
      <c r="AD228" s="36"/>
      <c r="AE228" s="36"/>
      <c r="AF228" s="36"/>
      <c r="AG228" s="36"/>
    </row>
    <row r="229" spans="28:33" x14ac:dyDescent="0.25">
      <c r="AB229" s="36"/>
      <c r="AC229" s="36"/>
      <c r="AD229" s="36"/>
      <c r="AE229" s="36"/>
      <c r="AF229" s="36"/>
      <c r="AG229" s="36"/>
    </row>
    <row r="230" spans="28:33" x14ac:dyDescent="0.25">
      <c r="AB230" s="36"/>
      <c r="AC230" s="36"/>
      <c r="AD230" s="36"/>
      <c r="AE230" s="36"/>
      <c r="AF230" s="36"/>
      <c r="AG230" s="36"/>
    </row>
    <row r="231" spans="28:33" x14ac:dyDescent="0.25">
      <c r="AB231" s="36"/>
      <c r="AC231" s="36"/>
      <c r="AD231" s="36"/>
      <c r="AE231" s="36"/>
      <c r="AF231" s="36"/>
      <c r="AG231" s="36"/>
    </row>
    <row r="232" spans="28:33" x14ac:dyDescent="0.25">
      <c r="AB232" s="36"/>
      <c r="AC232" s="36"/>
      <c r="AD232" s="36"/>
      <c r="AE232" s="36"/>
      <c r="AF232" s="36"/>
      <c r="AG232" s="36"/>
    </row>
    <row r="233" spans="28:33" x14ac:dyDescent="0.25">
      <c r="AB233" s="36"/>
      <c r="AC233" s="36"/>
      <c r="AD233" s="36"/>
      <c r="AE233" s="36"/>
      <c r="AF233" s="36"/>
      <c r="AG233" s="36"/>
    </row>
    <row r="234" spans="28:33" x14ac:dyDescent="0.25">
      <c r="AB234" s="36"/>
      <c r="AC234" s="36"/>
      <c r="AD234" s="36"/>
      <c r="AE234" s="36"/>
      <c r="AF234" s="36"/>
      <c r="AG234" s="36"/>
    </row>
    <row r="235" spans="28:33" x14ac:dyDescent="0.25">
      <c r="AB235" s="36"/>
      <c r="AC235" s="36"/>
      <c r="AD235" s="36"/>
      <c r="AE235" s="36"/>
      <c r="AF235" s="36"/>
      <c r="AG235" s="36"/>
    </row>
    <row r="236" spans="28:33" x14ac:dyDescent="0.25">
      <c r="AB236" s="36"/>
      <c r="AC236" s="36"/>
      <c r="AD236" s="36"/>
      <c r="AE236" s="36"/>
      <c r="AF236" s="36"/>
      <c r="AG236" s="36"/>
    </row>
    <row r="237" spans="28:33" x14ac:dyDescent="0.25">
      <c r="AB237" s="36"/>
      <c r="AC237" s="36"/>
      <c r="AD237" s="36"/>
      <c r="AE237" s="36"/>
      <c r="AF237" s="36"/>
      <c r="AG237" s="36"/>
    </row>
    <row r="238" spans="28:33" x14ac:dyDescent="0.25">
      <c r="AB238" s="36"/>
      <c r="AC238" s="36"/>
      <c r="AD238" s="36"/>
      <c r="AE238" s="36"/>
      <c r="AF238" s="36"/>
      <c r="AG238" s="36"/>
    </row>
    <row r="239" spans="28:33" x14ac:dyDescent="0.25">
      <c r="AB239" s="36"/>
      <c r="AC239" s="36"/>
      <c r="AD239" s="36"/>
      <c r="AE239" s="36"/>
      <c r="AF239" s="36"/>
      <c r="AG239" s="36"/>
    </row>
    <row r="240" spans="28:33" x14ac:dyDescent="0.25">
      <c r="AB240" s="36"/>
      <c r="AC240" s="36"/>
      <c r="AD240" s="36"/>
      <c r="AE240" s="36"/>
      <c r="AF240" s="36"/>
      <c r="AG240" s="36"/>
    </row>
    <row r="241" spans="28:33" x14ac:dyDescent="0.25">
      <c r="AB241" s="36"/>
      <c r="AC241" s="36"/>
      <c r="AD241" s="36"/>
      <c r="AE241" s="36"/>
      <c r="AF241" s="36"/>
      <c r="AG241" s="36"/>
    </row>
    <row r="242" spans="28:33" x14ac:dyDescent="0.25">
      <c r="AB242" s="36"/>
      <c r="AC242" s="36"/>
      <c r="AD242" s="36"/>
      <c r="AE242" s="36"/>
      <c r="AF242" s="36"/>
      <c r="AG242" s="36"/>
    </row>
    <row r="243" spans="28:33" x14ac:dyDescent="0.25">
      <c r="AB243" s="36"/>
      <c r="AC243" s="36"/>
      <c r="AD243" s="36"/>
      <c r="AE243" s="36"/>
      <c r="AF243" s="36"/>
      <c r="AG243" s="36"/>
    </row>
    <row r="244" spans="28:33" x14ac:dyDescent="0.25">
      <c r="AB244" s="36"/>
      <c r="AC244" s="36"/>
      <c r="AD244" s="36"/>
      <c r="AE244" s="36"/>
      <c r="AF244" s="36"/>
      <c r="AG244" s="36"/>
    </row>
    <row r="245" spans="28:33" x14ac:dyDescent="0.25">
      <c r="AB245" s="36"/>
      <c r="AC245" s="36"/>
      <c r="AD245" s="36"/>
      <c r="AE245" s="36"/>
      <c r="AF245" s="36"/>
      <c r="AG245" s="36"/>
    </row>
    <row r="246" spans="28:33" x14ac:dyDescent="0.25">
      <c r="AB246" s="36"/>
      <c r="AC246" s="36"/>
      <c r="AD246" s="36"/>
      <c r="AE246" s="36"/>
      <c r="AF246" s="36"/>
      <c r="AG246" s="36"/>
    </row>
    <row r="247" spans="28:33" x14ac:dyDescent="0.25">
      <c r="AB247" s="36"/>
      <c r="AC247" s="36"/>
      <c r="AD247" s="36"/>
      <c r="AE247" s="36"/>
      <c r="AF247" s="36"/>
      <c r="AG247" s="36"/>
    </row>
    <row r="248" spans="28:33" x14ac:dyDescent="0.25">
      <c r="AB248" s="36"/>
      <c r="AC248" s="36"/>
      <c r="AD248" s="36"/>
      <c r="AE248" s="36"/>
      <c r="AF248" s="36"/>
      <c r="AG248" s="36"/>
    </row>
    <row r="249" spans="28:33" x14ac:dyDescent="0.25">
      <c r="AB249" s="36"/>
      <c r="AC249" s="36"/>
      <c r="AD249" s="36"/>
      <c r="AE249" s="36"/>
      <c r="AF249" s="36"/>
      <c r="AG249" s="36"/>
    </row>
    <row r="250" spans="28:33" x14ac:dyDescent="0.25">
      <c r="AB250" s="36"/>
      <c r="AC250" s="36"/>
      <c r="AD250" s="36"/>
      <c r="AE250" s="36"/>
      <c r="AF250" s="36"/>
      <c r="AG250" s="36"/>
    </row>
    <row r="251" spans="28:33" x14ac:dyDescent="0.25">
      <c r="AB251" s="36"/>
      <c r="AC251" s="36"/>
      <c r="AD251" s="36"/>
      <c r="AE251" s="36"/>
      <c r="AF251" s="36"/>
      <c r="AG251" s="36"/>
    </row>
    <row r="252" spans="28:33" x14ac:dyDescent="0.25">
      <c r="AB252" s="36"/>
      <c r="AC252" s="36"/>
      <c r="AD252" s="36"/>
      <c r="AE252" s="36"/>
      <c r="AF252" s="36"/>
      <c r="AG252" s="36"/>
    </row>
    <row r="253" spans="28:33" x14ac:dyDescent="0.25">
      <c r="AB253" s="36"/>
      <c r="AC253" s="36"/>
      <c r="AD253" s="36"/>
      <c r="AE253" s="36"/>
      <c r="AF253" s="36"/>
      <c r="AG253" s="36"/>
    </row>
    <row r="254" spans="28:33" x14ac:dyDescent="0.25">
      <c r="AB254" s="36"/>
      <c r="AC254" s="36"/>
      <c r="AD254" s="36"/>
      <c r="AE254" s="36"/>
      <c r="AF254" s="36"/>
      <c r="AG254" s="36"/>
    </row>
    <row r="255" spans="28:33" x14ac:dyDescent="0.25">
      <c r="AB255" s="36"/>
      <c r="AC255" s="36"/>
      <c r="AD255" s="36"/>
      <c r="AE255" s="36"/>
      <c r="AF255" s="36"/>
      <c r="AG255" s="36"/>
    </row>
    <row r="256" spans="28:33" x14ac:dyDescent="0.25">
      <c r="AB256" s="36"/>
      <c r="AC256" s="36"/>
      <c r="AD256" s="36"/>
      <c r="AE256" s="36"/>
      <c r="AF256" s="36"/>
      <c r="AG256" s="36"/>
    </row>
    <row r="257" spans="28:33" x14ac:dyDescent="0.25">
      <c r="AB257" s="36"/>
      <c r="AC257" s="36"/>
      <c r="AD257" s="36"/>
      <c r="AE257" s="36"/>
      <c r="AF257" s="36"/>
      <c r="AG257" s="36"/>
    </row>
    <row r="258" spans="28:33" x14ac:dyDescent="0.25">
      <c r="AB258" s="36"/>
      <c r="AC258" s="36"/>
      <c r="AD258" s="36"/>
      <c r="AE258" s="36"/>
      <c r="AF258" s="36"/>
      <c r="AG258" s="36"/>
    </row>
    <row r="259" spans="28:33" x14ac:dyDescent="0.25">
      <c r="AB259" s="36"/>
      <c r="AC259" s="36"/>
      <c r="AD259" s="36"/>
      <c r="AE259" s="36"/>
      <c r="AF259" s="36"/>
      <c r="AG259" s="36"/>
    </row>
    <row r="260" spans="28:33" x14ac:dyDescent="0.25">
      <c r="AB260" s="36"/>
      <c r="AC260" s="36"/>
      <c r="AD260" s="36"/>
      <c r="AE260" s="36"/>
      <c r="AF260" s="36"/>
      <c r="AG260" s="36"/>
    </row>
    <row r="261" spans="28:33" x14ac:dyDescent="0.25">
      <c r="AB261" s="36"/>
      <c r="AC261" s="36"/>
      <c r="AD261" s="36"/>
      <c r="AE261" s="36"/>
      <c r="AF261" s="36"/>
      <c r="AG261" s="36"/>
    </row>
    <row r="262" spans="28:33" x14ac:dyDescent="0.25">
      <c r="AB262" s="36"/>
      <c r="AC262" s="36"/>
      <c r="AD262" s="36"/>
      <c r="AE262" s="36"/>
      <c r="AF262" s="36"/>
      <c r="AG262" s="36"/>
    </row>
    <row r="263" spans="28:33" x14ac:dyDescent="0.25">
      <c r="AB263" s="36"/>
      <c r="AC263" s="36"/>
      <c r="AD263" s="36"/>
      <c r="AE263" s="36"/>
      <c r="AF263" s="36"/>
      <c r="AG263" s="36"/>
    </row>
    <row r="264" spans="28:33" x14ac:dyDescent="0.25">
      <c r="AB264" s="36"/>
      <c r="AC264" s="36"/>
      <c r="AD264" s="36"/>
      <c r="AE264" s="36"/>
      <c r="AF264" s="36"/>
      <c r="AG264" s="36"/>
    </row>
    <row r="265" spans="28:33" x14ac:dyDescent="0.25">
      <c r="AB265" s="36"/>
      <c r="AC265" s="36"/>
      <c r="AD265" s="36"/>
      <c r="AE265" s="36"/>
      <c r="AF265" s="36"/>
      <c r="AG265" s="36"/>
    </row>
    <row r="266" spans="28:33" x14ac:dyDescent="0.25">
      <c r="AB266" s="36"/>
      <c r="AC266" s="36"/>
      <c r="AD266" s="36"/>
      <c r="AE266" s="36"/>
      <c r="AF266" s="36"/>
      <c r="AG266" s="36"/>
    </row>
    <row r="267" spans="28:33" x14ac:dyDescent="0.25">
      <c r="AB267" s="36"/>
      <c r="AC267" s="36"/>
      <c r="AD267" s="36"/>
      <c r="AE267" s="36"/>
      <c r="AF267" s="36"/>
      <c r="AG267" s="36"/>
    </row>
    <row r="268" spans="28:33" x14ac:dyDescent="0.25">
      <c r="AB268" s="36"/>
      <c r="AC268" s="36"/>
      <c r="AD268" s="36"/>
      <c r="AE268" s="36"/>
      <c r="AF268" s="36"/>
      <c r="AG268" s="36"/>
    </row>
    <row r="269" spans="28:33" x14ac:dyDescent="0.25">
      <c r="AB269" s="36"/>
      <c r="AC269" s="36"/>
      <c r="AD269" s="36"/>
      <c r="AE269" s="36"/>
      <c r="AF269" s="36"/>
      <c r="AG269" s="36"/>
    </row>
    <row r="270" spans="28:33" x14ac:dyDescent="0.25">
      <c r="AB270" s="36"/>
      <c r="AC270" s="36"/>
      <c r="AD270" s="36"/>
      <c r="AE270" s="36"/>
      <c r="AF270" s="36"/>
      <c r="AG270" s="36"/>
    </row>
    <row r="271" spans="28:33" x14ac:dyDescent="0.25">
      <c r="AB271" s="36"/>
      <c r="AC271" s="36"/>
      <c r="AD271" s="36"/>
      <c r="AE271" s="36"/>
      <c r="AF271" s="36"/>
      <c r="AG271" s="36"/>
    </row>
    <row r="272" spans="28:33" x14ac:dyDescent="0.25">
      <c r="AB272" s="36"/>
      <c r="AC272" s="36"/>
      <c r="AD272" s="36"/>
      <c r="AE272" s="36"/>
      <c r="AF272" s="36"/>
      <c r="AG272" s="36"/>
    </row>
    <row r="273" spans="28:33" x14ac:dyDescent="0.25">
      <c r="AB273" s="36"/>
      <c r="AC273" s="36"/>
      <c r="AD273" s="36"/>
      <c r="AE273" s="36"/>
      <c r="AF273" s="36"/>
      <c r="AG273" s="36"/>
    </row>
    <row r="274" spans="28:33" x14ac:dyDescent="0.25">
      <c r="AB274" s="36"/>
      <c r="AC274" s="36"/>
      <c r="AD274" s="36"/>
      <c r="AE274" s="36"/>
      <c r="AF274" s="36"/>
      <c r="AG274" s="36"/>
    </row>
    <row r="275" spans="28:33" x14ac:dyDescent="0.25">
      <c r="AB275" s="36"/>
      <c r="AC275" s="36"/>
      <c r="AD275" s="36"/>
      <c r="AE275" s="36"/>
      <c r="AF275" s="36"/>
      <c r="AG275" s="36"/>
    </row>
    <row r="276" spans="28:33" x14ac:dyDescent="0.25">
      <c r="AB276" s="36"/>
      <c r="AC276" s="36"/>
      <c r="AD276" s="36"/>
      <c r="AE276" s="36"/>
      <c r="AF276" s="36"/>
      <c r="AG276" s="36"/>
    </row>
    <row r="277" spans="28:33" x14ac:dyDescent="0.25">
      <c r="AB277" s="36"/>
      <c r="AC277" s="36"/>
      <c r="AD277" s="36"/>
      <c r="AE277" s="36"/>
      <c r="AF277" s="36"/>
      <c r="AG277" s="36"/>
    </row>
    <row r="278" spans="28:33" x14ac:dyDescent="0.25">
      <c r="AB278" s="36"/>
      <c r="AC278" s="36"/>
      <c r="AD278" s="36"/>
      <c r="AE278" s="36"/>
      <c r="AF278" s="36"/>
      <c r="AG278" s="36"/>
    </row>
    <row r="279" spans="28:33" x14ac:dyDescent="0.25">
      <c r="AB279" s="36"/>
      <c r="AC279" s="36"/>
      <c r="AD279" s="36"/>
      <c r="AE279" s="36"/>
      <c r="AF279" s="36"/>
      <c r="AG279" s="36"/>
    </row>
    <row r="280" spans="28:33" x14ac:dyDescent="0.25">
      <c r="AB280" s="36"/>
      <c r="AC280" s="36"/>
      <c r="AD280" s="36"/>
      <c r="AE280" s="36"/>
      <c r="AF280" s="36"/>
      <c r="AG280" s="36"/>
    </row>
    <row r="281" spans="28:33" x14ac:dyDescent="0.25">
      <c r="AB281" s="36"/>
      <c r="AC281" s="36"/>
      <c r="AD281" s="36"/>
      <c r="AE281" s="36"/>
      <c r="AF281" s="36"/>
      <c r="AG281" s="36"/>
    </row>
    <row r="282" spans="28:33" x14ac:dyDescent="0.25">
      <c r="AB282" s="36"/>
      <c r="AC282" s="36"/>
      <c r="AD282" s="36"/>
      <c r="AE282" s="36"/>
      <c r="AF282" s="36"/>
      <c r="AG282" s="36"/>
    </row>
    <row r="283" spans="28:33" x14ac:dyDescent="0.25">
      <c r="AB283" s="36"/>
      <c r="AC283" s="36"/>
      <c r="AD283" s="36"/>
      <c r="AE283" s="36"/>
      <c r="AF283" s="36"/>
      <c r="AG283" s="36"/>
    </row>
    <row r="284" spans="28:33" x14ac:dyDescent="0.25">
      <c r="AB284" s="36"/>
      <c r="AC284" s="36"/>
      <c r="AD284" s="36"/>
      <c r="AE284" s="36"/>
      <c r="AF284" s="36"/>
      <c r="AG284" s="36"/>
    </row>
    <row r="285" spans="28:33" x14ac:dyDescent="0.25">
      <c r="AB285" s="36"/>
      <c r="AC285" s="36"/>
      <c r="AD285" s="36"/>
      <c r="AE285" s="36"/>
      <c r="AF285" s="36"/>
      <c r="AG285" s="36"/>
    </row>
    <row r="286" spans="28:33" x14ac:dyDescent="0.25">
      <c r="AB286" s="36"/>
      <c r="AC286" s="36"/>
      <c r="AD286" s="36"/>
      <c r="AE286" s="36"/>
      <c r="AF286" s="36"/>
      <c r="AG286" s="36"/>
    </row>
    <row r="287" spans="28:33" x14ac:dyDescent="0.25">
      <c r="AB287" s="36"/>
      <c r="AC287" s="36"/>
      <c r="AD287" s="36"/>
      <c r="AE287" s="36"/>
      <c r="AF287" s="36"/>
      <c r="AG287" s="36"/>
    </row>
    <row r="288" spans="28:33" x14ac:dyDescent="0.25">
      <c r="AB288" s="36"/>
      <c r="AC288" s="36"/>
      <c r="AD288" s="36"/>
      <c r="AE288" s="36"/>
      <c r="AF288" s="36"/>
      <c r="AG288" s="36"/>
    </row>
    <row r="289" spans="28:33" x14ac:dyDescent="0.25">
      <c r="AB289" s="36"/>
      <c r="AC289" s="36"/>
      <c r="AD289" s="36"/>
      <c r="AE289" s="36"/>
      <c r="AF289" s="36"/>
      <c r="AG289" s="36"/>
    </row>
    <row r="290" spans="28:33" x14ac:dyDescent="0.25">
      <c r="AB290" s="36"/>
      <c r="AC290" s="36"/>
      <c r="AD290" s="36"/>
      <c r="AE290" s="36"/>
      <c r="AF290" s="36"/>
      <c r="AG290" s="36"/>
    </row>
    <row r="291" spans="28:33" x14ac:dyDescent="0.25">
      <c r="AB291" s="36"/>
      <c r="AC291" s="36"/>
      <c r="AD291" s="36"/>
      <c r="AE291" s="36"/>
      <c r="AF291" s="36"/>
      <c r="AG291" s="36"/>
    </row>
    <row r="292" spans="28:33" x14ac:dyDescent="0.25">
      <c r="AB292" s="36"/>
      <c r="AC292" s="36"/>
      <c r="AD292" s="36"/>
      <c r="AE292" s="36"/>
      <c r="AF292" s="36"/>
      <c r="AG292" s="36"/>
    </row>
    <row r="293" spans="28:33" x14ac:dyDescent="0.25">
      <c r="AB293" s="36"/>
      <c r="AC293" s="36"/>
      <c r="AD293" s="36"/>
      <c r="AE293" s="36"/>
      <c r="AF293" s="36"/>
      <c r="AG293" s="36"/>
    </row>
    <row r="294" spans="28:33" x14ac:dyDescent="0.25">
      <c r="AB294" s="36"/>
      <c r="AC294" s="36"/>
      <c r="AD294" s="36"/>
      <c r="AE294" s="36"/>
      <c r="AF294" s="36"/>
      <c r="AG294" s="36"/>
    </row>
    <row r="295" spans="28:33" x14ac:dyDescent="0.25">
      <c r="AB295" s="36"/>
      <c r="AC295" s="36"/>
      <c r="AD295" s="36"/>
      <c r="AE295" s="36"/>
      <c r="AF295" s="36"/>
      <c r="AG295" s="36"/>
    </row>
    <row r="296" spans="28:33" x14ac:dyDescent="0.25">
      <c r="AB296" s="36"/>
      <c r="AC296" s="36"/>
      <c r="AD296" s="36"/>
      <c r="AE296" s="36"/>
      <c r="AF296" s="36"/>
      <c r="AG296" s="36"/>
    </row>
    <row r="297" spans="28:33" x14ac:dyDescent="0.25">
      <c r="AB297" s="36"/>
      <c r="AC297" s="36"/>
      <c r="AD297" s="36"/>
      <c r="AE297" s="36"/>
      <c r="AF297" s="36"/>
      <c r="AG297" s="36"/>
    </row>
    <row r="298" spans="28:33" x14ac:dyDescent="0.25">
      <c r="AB298" s="36"/>
      <c r="AC298" s="36"/>
      <c r="AD298" s="36"/>
      <c r="AE298" s="36"/>
      <c r="AF298" s="36"/>
      <c r="AG298" s="36"/>
    </row>
    <row r="299" spans="28:33" x14ac:dyDescent="0.25">
      <c r="AB299" s="36"/>
      <c r="AC299" s="36"/>
      <c r="AD299" s="36"/>
      <c r="AE299" s="36"/>
      <c r="AF299" s="36"/>
      <c r="AG299" s="36"/>
    </row>
    <row r="300" spans="28:33" x14ac:dyDescent="0.25">
      <c r="AB300" s="36"/>
      <c r="AC300" s="36"/>
      <c r="AD300" s="36"/>
      <c r="AE300" s="36"/>
      <c r="AF300" s="36"/>
      <c r="AG300" s="36"/>
    </row>
    <row r="301" spans="28:33" x14ac:dyDescent="0.25">
      <c r="AB301" s="36"/>
      <c r="AC301" s="36"/>
      <c r="AD301" s="36"/>
      <c r="AE301" s="36"/>
      <c r="AF301" s="36"/>
      <c r="AG301" s="36"/>
    </row>
    <row r="302" spans="28:33" x14ac:dyDescent="0.25">
      <c r="AB302" s="36"/>
      <c r="AC302" s="36"/>
      <c r="AD302" s="36"/>
      <c r="AE302" s="36"/>
      <c r="AF302" s="36"/>
      <c r="AG302" s="36"/>
    </row>
    <row r="785" spans="10:11" x14ac:dyDescent="0.25">
      <c r="J785" s="31"/>
    </row>
    <row r="786" spans="10:11" x14ac:dyDescent="0.25">
      <c r="J786" s="31"/>
    </row>
    <row r="787" spans="10:11" x14ac:dyDescent="0.25">
      <c r="J787" s="31"/>
    </row>
    <row r="788" spans="10:11" x14ac:dyDescent="0.25">
      <c r="J788" s="31"/>
    </row>
    <row r="789" spans="10:11" x14ac:dyDescent="0.25">
      <c r="J789" s="31"/>
    </row>
    <row r="790" spans="10:11" x14ac:dyDescent="0.25">
      <c r="J790" s="31"/>
    </row>
    <row r="791" spans="10:11" x14ac:dyDescent="0.25">
      <c r="J791" s="31"/>
    </row>
    <row r="792" spans="10:11" x14ac:dyDescent="0.25">
      <c r="J792" s="31"/>
    </row>
    <row r="793" spans="10:11" x14ac:dyDescent="0.25">
      <c r="J793" s="31"/>
    </row>
    <row r="794" spans="10:11" x14ac:dyDescent="0.25">
      <c r="J794" s="31"/>
    </row>
    <row r="795" spans="10:11" x14ac:dyDescent="0.25">
      <c r="J795" s="31"/>
    </row>
    <row r="796" spans="10:11" x14ac:dyDescent="0.25">
      <c r="J796" s="31"/>
    </row>
    <row r="797" spans="10:11" x14ac:dyDescent="0.25">
      <c r="J797" s="31"/>
    </row>
    <row r="798" spans="10:11" x14ac:dyDescent="0.25">
      <c r="J798" s="31"/>
      <c r="K798" s="18"/>
    </row>
  </sheetData>
  <sortState ref="A33:A42">
    <sortCondition ref="A58"/>
  </sortState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ToControls">
                <anchor moveWithCells="1" sizeWithCells="1">
                  <from>
                    <xdr:col>13</xdr:col>
                    <xdr:colOff>28575</xdr:colOff>
                    <xdr:row>0</xdr:row>
                    <xdr:rowOff>114300</xdr:rowOff>
                  </from>
                  <to>
                    <xdr:col>15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53"/>
  <sheetViews>
    <sheetView zoomScale="80" zoomScaleNormal="80" workbookViewId="0"/>
  </sheetViews>
  <sheetFormatPr defaultColWidth="8.85546875" defaultRowHeight="15" x14ac:dyDescent="0.25"/>
  <cols>
    <col min="1" max="1" width="20.7109375" style="18" customWidth="1"/>
    <col min="2" max="2" width="16.42578125" style="18" bestFit="1" customWidth="1"/>
    <col min="3" max="3" width="25.5703125" style="18" bestFit="1" customWidth="1"/>
    <col min="4" max="4" width="16.42578125" style="18" bestFit="1" customWidth="1"/>
    <col min="5" max="5" width="14.85546875" style="18" bestFit="1" customWidth="1"/>
    <col min="6" max="6" width="17.140625" style="18" bestFit="1" customWidth="1"/>
    <col min="7" max="7" width="10.28515625" style="18" bestFit="1" customWidth="1"/>
    <col min="8" max="8" width="11.5703125" style="18" bestFit="1" customWidth="1"/>
    <col min="9" max="9" width="15.7109375" style="18" bestFit="1" customWidth="1"/>
    <col min="10" max="10" width="17.28515625" style="18" bestFit="1" customWidth="1"/>
    <col min="11" max="11" width="16.7109375" style="18" bestFit="1" customWidth="1"/>
    <col min="12" max="12" width="19.7109375" style="18" bestFit="1" customWidth="1"/>
    <col min="13" max="13" width="20" style="18" bestFit="1" customWidth="1"/>
    <col min="14" max="14" width="31.7109375" style="18" customWidth="1"/>
    <col min="15" max="16384" width="8.85546875" style="18"/>
  </cols>
  <sheetData>
    <row r="1" spans="1:14" s="42" customFormat="1" ht="99" customHeight="1" x14ac:dyDescent="0.25">
      <c r="A1" s="8" t="s">
        <v>0</v>
      </c>
      <c r="B1" s="8" t="s">
        <v>1</v>
      </c>
      <c r="C1" s="9" t="s">
        <v>154</v>
      </c>
      <c r="D1" s="8" t="s">
        <v>132</v>
      </c>
      <c r="E1" s="8" t="s">
        <v>133</v>
      </c>
      <c r="F1" s="8" t="s">
        <v>134</v>
      </c>
      <c r="G1" s="8" t="s">
        <v>135</v>
      </c>
      <c r="H1" s="8" t="s">
        <v>136</v>
      </c>
      <c r="I1" s="8" t="s">
        <v>137</v>
      </c>
      <c r="J1" s="30" t="s">
        <v>166</v>
      </c>
      <c r="K1" s="30" t="s">
        <v>167</v>
      </c>
      <c r="L1" s="30" t="s">
        <v>164</v>
      </c>
      <c r="M1" s="30" t="s">
        <v>165</v>
      </c>
    </row>
    <row r="2" spans="1:14" customFormat="1" x14ac:dyDescent="0.25">
      <c r="A2" s="31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customFormat="1" x14ac:dyDescent="0.25">
      <c r="A3" s="31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customFormat="1" x14ac:dyDescent="0.25">
      <c r="A4" s="31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customFormat="1" x14ac:dyDescent="0.25">
      <c r="A5" s="31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4" customFormat="1" x14ac:dyDescent="0.25">
      <c r="A6" s="31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4" customFormat="1" x14ac:dyDescent="0.25">
      <c r="A7" s="31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</row>
    <row r="8" spans="1:14" customFormat="1" x14ac:dyDescent="0.25">
      <c r="A8" s="31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</row>
    <row r="9" spans="1:14" customFormat="1" x14ac:dyDescent="0.25">
      <c r="A9" s="31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</row>
    <row r="10" spans="1:14" customFormat="1" x14ac:dyDescent="0.25">
      <c r="A10" s="31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</row>
    <row r="11" spans="1:14" customFormat="1" x14ac:dyDescent="0.25">
      <c r="A11" s="31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</row>
    <row r="12" spans="1:14" customFormat="1" x14ac:dyDescent="0.25">
      <c r="A12" s="31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4" customFormat="1" x14ac:dyDescent="0.25">
      <c r="A13" s="31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</row>
    <row r="14" spans="1:14" customFormat="1" x14ac:dyDescent="0.25">
      <c r="A14" s="31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</row>
    <row r="15" spans="1:14" customFormat="1" x14ac:dyDescent="0.25">
      <c r="A15" s="31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</row>
    <row r="16" spans="1:14" customFormat="1" x14ac:dyDescent="0.25">
      <c r="A16" s="31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</row>
    <row r="17" spans="1:14" customFormat="1" x14ac:dyDescent="0.25">
      <c r="A17" s="31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customFormat="1" x14ac:dyDescent="0.25">
      <c r="A18" s="31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</row>
    <row r="19" spans="1:14" customFormat="1" x14ac:dyDescent="0.25">
      <c r="A19" s="31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4" customFormat="1" x14ac:dyDescent="0.25">
      <c r="A20" s="31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</row>
    <row r="21" spans="1:14" customFormat="1" x14ac:dyDescent="0.25">
      <c r="A21" s="31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</row>
    <row r="22" spans="1:14" customFormat="1" x14ac:dyDescent="0.25">
      <c r="A22" s="31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</row>
    <row r="23" spans="1:14" customFormat="1" x14ac:dyDescent="0.25">
      <c r="A23" s="31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</row>
    <row r="24" spans="1:14" customFormat="1" x14ac:dyDescent="0.25">
      <c r="A24" s="3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</row>
    <row r="25" spans="1:14" customFormat="1" x14ac:dyDescent="0.25">
      <c r="A25" s="31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6" spans="1:14" customFormat="1" x14ac:dyDescent="0.25">
      <c r="A26" s="31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</row>
    <row r="27" spans="1:14" customFormat="1" x14ac:dyDescent="0.25">
      <c r="A27" s="3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</row>
    <row r="28" spans="1:14" customFormat="1" x14ac:dyDescent="0.25">
      <c r="A28" s="31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</row>
    <row r="29" spans="1:14" customFormat="1" x14ac:dyDescent="0.25">
      <c r="A29" s="31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</row>
    <row r="30" spans="1:14" customFormat="1" x14ac:dyDescent="0.25">
      <c r="A30" s="31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</row>
    <row r="31" spans="1:14" customFormat="1" x14ac:dyDescent="0.25">
      <c r="A31" s="31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</row>
    <row r="32" spans="1:14" x14ac:dyDescent="0.25">
      <c r="A32" s="31"/>
    </row>
    <row r="33" spans="1:1" x14ac:dyDescent="0.25">
      <c r="A33" s="31"/>
    </row>
    <row r="34" spans="1:1" x14ac:dyDescent="0.25">
      <c r="A34" s="31"/>
    </row>
    <row r="35" spans="1:1" x14ac:dyDescent="0.25">
      <c r="A35" s="31"/>
    </row>
    <row r="36" spans="1:1" x14ac:dyDescent="0.25">
      <c r="A36" s="31"/>
    </row>
    <row r="37" spans="1:1" x14ac:dyDescent="0.25">
      <c r="A37" s="31"/>
    </row>
    <row r="38" spans="1:1" x14ac:dyDescent="0.25">
      <c r="A38" s="31"/>
    </row>
    <row r="39" spans="1:1" x14ac:dyDescent="0.25">
      <c r="A39" s="31"/>
    </row>
    <row r="40" spans="1:1" x14ac:dyDescent="0.25">
      <c r="A40" s="31"/>
    </row>
    <row r="41" spans="1:1" x14ac:dyDescent="0.25">
      <c r="A41" s="31"/>
    </row>
    <row r="42" spans="1:1" x14ac:dyDescent="0.25">
      <c r="A42" s="31"/>
    </row>
    <row r="43" spans="1:1" x14ac:dyDescent="0.25">
      <c r="A43" s="31"/>
    </row>
    <row r="44" spans="1:1" x14ac:dyDescent="0.25">
      <c r="A44" s="31"/>
    </row>
    <row r="45" spans="1:1" x14ac:dyDescent="0.25">
      <c r="A45" s="31"/>
    </row>
    <row r="46" spans="1:1" x14ac:dyDescent="0.25">
      <c r="A46" s="31"/>
    </row>
    <row r="47" spans="1:1" x14ac:dyDescent="0.25">
      <c r="A47" s="31"/>
    </row>
    <row r="48" spans="1:1" x14ac:dyDescent="0.25">
      <c r="A48" s="31"/>
    </row>
    <row r="49" spans="1:8" x14ac:dyDescent="0.25">
      <c r="A49" s="31"/>
    </row>
    <row r="50" spans="1:8" x14ac:dyDescent="0.25">
      <c r="F50" s="32"/>
      <c r="G50" s="33"/>
      <c r="H50" s="33"/>
    </row>
    <row r="51" spans="1:8" x14ac:dyDescent="0.25">
      <c r="F51" s="32"/>
      <c r="G51" s="33"/>
      <c r="H51" s="33"/>
    </row>
    <row r="52" spans="1:8" x14ac:dyDescent="0.25">
      <c r="F52" s="32"/>
      <c r="G52" s="33"/>
      <c r="H52" s="33"/>
    </row>
    <row r="53" spans="1:8" x14ac:dyDescent="0.25">
      <c r="F53" s="32"/>
      <c r="G53" s="33"/>
      <c r="H53" s="33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ClearScenarioData">
                <anchor moveWithCells="1" sizeWithCells="1">
                  <from>
                    <xdr:col>13</xdr:col>
                    <xdr:colOff>161925</xdr:colOff>
                    <xdr:row>0</xdr:row>
                    <xdr:rowOff>333375</xdr:rowOff>
                  </from>
                  <to>
                    <xdr:col>13</xdr:col>
                    <xdr:colOff>1819275</xdr:colOff>
                    <xdr:row>0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ToControls">
                <anchor moveWithCells="1" sizeWithCells="1">
                  <from>
                    <xdr:col>14</xdr:col>
                    <xdr:colOff>0</xdr:colOff>
                    <xdr:row>0</xdr:row>
                    <xdr:rowOff>342900</xdr:rowOff>
                  </from>
                  <to>
                    <xdr:col>16</xdr:col>
                    <xdr:colOff>257175</xdr:colOff>
                    <xdr:row>0</xdr:row>
                    <xdr:rowOff>1009650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80" zoomScaleNormal="80" workbookViewId="0"/>
  </sheetViews>
  <sheetFormatPr defaultRowHeight="15" x14ac:dyDescent="0.25"/>
  <sheetData>
    <row r="1" s="50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80" zoomScaleNormal="80" workbookViewId="0"/>
  </sheetViews>
  <sheetFormatPr defaultRowHeight="15" x14ac:dyDescent="0.25"/>
  <sheetData>
    <row r="1" s="51" customFormat="1" x14ac:dyDescent="0.25"/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Introduction</vt:lpstr>
      <vt:lpstr>Controls</vt:lpstr>
      <vt:lpstr>Variable Definitions</vt:lpstr>
      <vt:lpstr>Loaded Scenarios</vt:lpstr>
      <vt:lpstr>Model Results</vt:lpstr>
      <vt:lpstr>Model Input Data</vt:lpstr>
      <vt:lpstr>CDrSet</vt:lpstr>
      <vt:lpstr>CLuSet</vt:lpstr>
      <vt:lpstr>CLuSetEnd</vt:lpstr>
      <vt:lpstr>CRipSet</vt:lpstr>
      <vt:lpstr>DALu</vt:lpstr>
      <vt:lpstr>DALuEnd</vt:lpstr>
      <vt:lpstr>DRipSet</vt:lpstr>
      <vt:lpstr>DrSetName</vt:lpstr>
      <vt:lpstr>NamesWUse</vt:lpstr>
      <vt:lpstr>NLuName</vt:lpstr>
      <vt:lpstr>NLuSetName</vt:lpstr>
      <vt:lpstr>QUseNp1</vt:lpstr>
      <vt:lpstr>QUseP1</vt:lpstr>
      <vt:lpstr>RipSetName</vt:lpstr>
      <vt:lpstr>VarEnd</vt:lpstr>
      <vt:lpstr>WQControls1</vt:lpstr>
      <vt:lpstr>WQControls2</vt:lpstr>
      <vt:lpstr>WQControls3</vt:lpstr>
      <vt:lpstr>WQFlow1</vt:lpstr>
      <vt:lpstr>WQFlow2</vt:lpstr>
      <vt:lpstr>WQFlow3</vt:lpstr>
      <vt:lpstr>WQInput</vt:lpstr>
      <vt:lpstr>WQVar</vt:lpstr>
      <vt:lpstr>WQVarEnd</vt:lpstr>
    </vt:vector>
  </TitlesOfParts>
  <Company>Abt Associates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Nesse</dc:creator>
  <cp:lastModifiedBy>ndetenbe</cp:lastModifiedBy>
  <dcterms:created xsi:type="dcterms:W3CDTF">2016-07-21T13:21:55Z</dcterms:created>
  <dcterms:modified xsi:type="dcterms:W3CDTF">2018-09-24T13:52:08Z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7a3a3ca6-91cf-46e4-a06e-24b20fb4df99</vt:lpwstr>
  </property>
</Properties>
</file>